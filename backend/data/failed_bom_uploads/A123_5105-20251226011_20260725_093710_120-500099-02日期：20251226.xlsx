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OM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<sst xmlns="http://schemas.openxmlformats.org/spreadsheetml/2006/main" count="418" uniqueCount="270">
  <si>
    <t xml:space="preserve">客户：A123   120-500099-02   订单102+190=292套   FD   计划批号PMC25122601
订单号5105-20251226010/251226011
</t>
  </si>
  <si>
    <t>序号</t>
  </si>
  <si>
    <t>元件料号</t>
  </si>
  <si>
    <t>元件品名</t>
  </si>
  <si>
    <t>元件规格</t>
  </si>
  <si>
    <t>用量</t>
  </si>
  <si>
    <t>单位</t>
  </si>
  <si>
    <t>备注</t>
  </si>
  <si>
    <t>插件位置</t>
  </si>
  <si>
    <t>需求</t>
  </si>
  <si>
    <t>退料数</t>
  </si>
  <si>
    <t>0010</t>
  </si>
  <si>
    <t>110-100001-00</t>
  </si>
  <si>
    <t>数字芯片</t>
  </si>
  <si>
    <t>IC,CAN通讯控制,SN65HVD230DR,3.3V,SOIC-8,-40℃～85℃,TI</t>
  </si>
  <si>
    <t xml:space="preserve">PCS </t>
  </si>
  <si>
    <t/>
  </si>
  <si>
    <t>U9</t>
  </si>
  <si>
    <t>0020</t>
  </si>
  <si>
    <t>110-100053-00</t>
  </si>
  <si>
    <t>IC,EEPROM, CAT24C512WI-GT3,SOIC-8,-40℃～85℃,ON</t>
  </si>
  <si>
    <t>U4</t>
  </si>
  <si>
    <t>0030</t>
  </si>
  <si>
    <t>110-100057-00</t>
  </si>
  <si>
    <t>IC,485通讯控制.TP8485E-SR，SOIC-8,-40℃～125℃,3PEAK</t>
  </si>
  <si>
    <t>U6, U8</t>
  </si>
  <si>
    <t>0040</t>
  </si>
  <si>
    <t>110-100058-00</t>
  </si>
  <si>
    <t>IC,232通讯控制,UT3232G-S16-R,SOP-16,-40℃～85℃,UTC</t>
  </si>
  <si>
    <t>U7</t>
  </si>
  <si>
    <t>0050</t>
  </si>
  <si>
    <t>110-100084-00</t>
  </si>
  <si>
    <t>IC,FLASH,GD25Q32ESIGR,SOP8 208mil,-40℃~85℃,GD</t>
  </si>
  <si>
    <t>U5</t>
  </si>
  <si>
    <t>0060</t>
  </si>
  <si>
    <t>121-100104-00</t>
  </si>
  <si>
    <t>烧录软件包</t>
  </si>
  <si>
    <t>FW,GD32F427VET6 100PIN,high voltage2.0,LCD,V200</t>
  </si>
  <si>
    <t>U3</t>
  </si>
  <si>
    <t>0070</t>
  </si>
  <si>
    <t>110-400003-00</t>
  </si>
  <si>
    <t>电源类</t>
  </si>
  <si>
    <t>IC_电源管理,TPS54332DDAR,3.5A,-40~150℃,SOIC-8,TI</t>
  </si>
  <si>
    <t>U1</t>
  </si>
  <si>
    <t>0080</t>
  </si>
  <si>
    <t>111-300039-00</t>
  </si>
  <si>
    <t>二极管</t>
  </si>
  <si>
    <t>D,SCKY,LMBR140FT1G,1A,40V,SOD-123,LRC</t>
  </si>
  <si>
    <t>D2</t>
  </si>
  <si>
    <t>0090</t>
  </si>
  <si>
    <t>111-300048-00</t>
  </si>
  <si>
    <t>D,UFST,EFMA240,2A,200V,SMA,LRC</t>
  </si>
  <si>
    <t>D1</t>
  </si>
  <si>
    <t>0100</t>
  </si>
  <si>
    <t>111-320009-00</t>
  </si>
  <si>
    <t>瞬态电压抑制器</t>
  </si>
  <si>
    <t>TVS,SDT23C712L02,12V,400W,SOT-23,双向,君耀</t>
  </si>
  <si>
    <t>Z1, Z2, Z3</t>
  </si>
  <si>
    <t>0110</t>
  </si>
  <si>
    <t>111-330032-00</t>
  </si>
  <si>
    <t>发光二极管</t>
  </si>
  <si>
    <t>LED,DIP,Φ5绿色圆头,拓展光电</t>
  </si>
  <si>
    <t>LED1, LED2</t>
  </si>
  <si>
    <t>0120</t>
  </si>
  <si>
    <t>111-330040-00</t>
  </si>
  <si>
    <t>TZ.003.P5R2UCR00-5mm红发超红短脚,LED,2.1V/20mA,5V,红色,600mcd,60mW,-40~85°C,Φ5,拓展光电,rohs,DIP</t>
  </si>
  <si>
    <t>LED3</t>
  </si>
  <si>
    <t>0130</t>
  </si>
  <si>
    <t>111-500023-00</t>
  </si>
  <si>
    <t>三极管</t>
  </si>
  <si>
    <t>TR,NPN,LMBT2222ALT1G,600mA,40V,SOT-23,LRC</t>
  </si>
  <si>
    <t>Q1, Q2, Q4, Q5, Q6, Q7, Q8</t>
  </si>
  <si>
    <t>0140</t>
  </si>
  <si>
    <t>112-000146-00</t>
  </si>
  <si>
    <t>铝电解电容</t>
  </si>
  <si>
    <t>CAL,DCLT 5R5 105C,5.5V,1.0F±30%,C-TYPE,21.5*9.5*5,85 ℃,100</t>
  </si>
  <si>
    <t>C14</t>
  </si>
  <si>
    <t>0150</t>
  </si>
  <si>
    <t>112-000198-00</t>
  </si>
  <si>
    <t>CAL,16V,470UF,M,D8.0*L10.2*P3.1,105℃,2000H,SMD,凯美VDV477M016S0ANG03K</t>
  </si>
  <si>
    <t>C3</t>
  </si>
  <si>
    <t>0160</t>
  </si>
  <si>
    <t>112-000234-00</t>
  </si>
  <si>
    <t>CAL,25V,470uF±20%,D10*L10.5,P4.5,SMD,-55℃~105℃,5000H,艾华,EMF1EM471GB0D00RF5</t>
  </si>
  <si>
    <t>C2</t>
  </si>
  <si>
    <t>0170</t>
  </si>
  <si>
    <t>112-100001-00</t>
  </si>
  <si>
    <t>贴片陶瓷电容</t>
  </si>
  <si>
    <t>CCC,0603,50V,100±5%,NPO CC0603JRNPO9BN100</t>
  </si>
  <si>
    <t>C10</t>
  </si>
  <si>
    <t>0180</t>
  </si>
  <si>
    <t>112-100004-00</t>
  </si>
  <si>
    <t>CCC,0603,50V,200±5%,NPO</t>
  </si>
  <si>
    <t>C61, C65</t>
  </si>
  <si>
    <t>0190</t>
  </si>
  <si>
    <t>112-100012-00</t>
  </si>
  <si>
    <t>CCC,0603,50V,221±5%,NPO</t>
  </si>
  <si>
    <t>C53, C56, C59, C62</t>
  </si>
  <si>
    <t>0200</t>
  </si>
  <si>
    <t>112-100016-00</t>
  </si>
  <si>
    <t>CCC,0603,50V,102±5%,NPO</t>
  </si>
  <si>
    <t>C8, C27, C70, C71, C72</t>
  </si>
  <si>
    <t>0210</t>
  </si>
  <si>
    <t>112-100021-00</t>
  </si>
  <si>
    <t>CCC,0603,50V,103±10%,X7R</t>
  </si>
  <si>
    <t>C9, C38, C40, C46, C63</t>
  </si>
  <si>
    <t>0220</t>
  </si>
  <si>
    <t>112-100024-00</t>
  </si>
  <si>
    <t>CCC,0603,50V,104±10%,X7R</t>
  </si>
  <si>
    <t>C1, C5, C7, C16, C17, C18, C19, C20, C21, C22, C26, C28, C47, C48, C49, C57, C58, C68, C69</t>
  </si>
  <si>
    <t>0230</t>
  </si>
  <si>
    <t>112-100027-00</t>
  </si>
  <si>
    <t>CCC,0603,16V,105±10%,X7R</t>
  </si>
  <si>
    <t>C37, C39, C50, C51, C52, C55</t>
  </si>
  <si>
    <t>0240</t>
  </si>
  <si>
    <t>112-100113-00</t>
  </si>
  <si>
    <t>CCC,0805,16V,106±10%,X7R</t>
  </si>
  <si>
    <t>C4, C6, C15</t>
  </si>
  <si>
    <t>0250</t>
  </si>
  <si>
    <t>112-100215-00</t>
  </si>
  <si>
    <t>CCC,1206,25V,106±10%,X7R</t>
  </si>
  <si>
    <t>C29, C30, C31, C32, C66, C67</t>
  </si>
  <si>
    <t>0260</t>
  </si>
  <si>
    <t>113-100001-00</t>
  </si>
  <si>
    <t>贴片电阻</t>
  </si>
  <si>
    <t>0603,RES,1/10W,0R±1%</t>
  </si>
  <si>
    <t>R19, R22, R30, R144</t>
  </si>
  <si>
    <t>0270</t>
  </si>
  <si>
    <t>113-100002-00</t>
  </si>
  <si>
    <t>0603,RES,1/10W,10R±1%</t>
  </si>
  <si>
    <t>R63, R64, R66, R67, R68, R69, R71</t>
  </si>
  <si>
    <t>0280</t>
  </si>
  <si>
    <t>113-100006-00</t>
  </si>
  <si>
    <t>0603,RES,1/10W,100R±1%</t>
  </si>
  <si>
    <t>R15, R70, R103, R104, R105, R106, R107, R108, R109, R110, R111, R112, R113, R114, R115, R116, R117, R118, R119, R120, R121, R122, R123, R124, R125, R126, R127, R128,R18,R146</t>
  </si>
  <si>
    <t>0290</t>
  </si>
  <si>
    <t>113-100012-00</t>
  </si>
  <si>
    <t>0603,RES,1/10W,510R±1%</t>
  </si>
  <si>
    <t>R16, R20</t>
  </si>
  <si>
    <t>0300</t>
  </si>
  <si>
    <t>113-100015-00</t>
  </si>
  <si>
    <t>0603,RES,1/10W,1K±1%</t>
  </si>
  <si>
    <t>R7, R9, R13, R80, R97</t>
  </si>
  <si>
    <t>0310</t>
  </si>
  <si>
    <t>113-100029-00</t>
  </si>
  <si>
    <t>0603,RES,1/10W,4.7K±1%</t>
  </si>
  <si>
    <t>R4, R59, R131, R132, R136</t>
  </si>
  <si>
    <t>0320</t>
  </si>
  <si>
    <t>113-100037-00</t>
  </si>
  <si>
    <t>0603,RES,1/10W,10K±1%</t>
  </si>
  <si>
    <t>R10, R11, R12, R14, R17, R24, R25, R26, R27, R29, R32, R33, R37, R38, R39, R40, R41, R42, R43, R44, R45, R46, R47, R48, R49, R50, R51, R52, R53, R54, R55, R56, R57, R58, R60, R61, R62, R65, R72, R75, R81, R87, R90, R92, R98,R150,R151,R152,R153</t>
  </si>
  <si>
    <t>0330</t>
  </si>
  <si>
    <t>113-100050-00</t>
  </si>
  <si>
    <t>0603,RES,1/10W,30K±1%</t>
  </si>
  <si>
    <t>R1, R5, R145</t>
  </si>
  <si>
    <t>0340</t>
  </si>
  <si>
    <t>113-100056-00</t>
  </si>
  <si>
    <t>0603,RES,1/10W,47K±1%</t>
  </si>
  <si>
    <t>R3, R133, R134, R137</t>
  </si>
  <si>
    <t>0350</t>
  </si>
  <si>
    <t>113-100060-00</t>
  </si>
  <si>
    <t>0603,RES,1/10W,150K±1%</t>
  </si>
  <si>
    <t>R2, R83, R84</t>
  </si>
  <si>
    <t>0360</t>
  </si>
  <si>
    <t>113-100070-00</t>
  </si>
  <si>
    <t>0603,RES,1/10W,1M±1%</t>
  </si>
  <si>
    <t>R23</t>
  </si>
  <si>
    <t>0370</t>
  </si>
  <si>
    <t>113-100082-00</t>
  </si>
  <si>
    <t>0603,RES,1/10W,10M±1%</t>
  </si>
  <si>
    <t>R34</t>
  </si>
  <si>
    <t>0380</t>
  </si>
  <si>
    <t>113-100201-00</t>
  </si>
  <si>
    <t>1206,RES,1/4W,0R±1%</t>
  </si>
  <si>
    <t>R96,R100</t>
  </si>
  <si>
    <t>0390</t>
  </si>
  <si>
    <t>113-100208-00</t>
  </si>
  <si>
    <t>1206,RES,1/4W,10R±1%</t>
  </si>
  <si>
    <t>R74, R77, R78, R79, R85, R86, R91, R94</t>
  </si>
  <si>
    <t>0400</t>
  </si>
  <si>
    <t>113-100219-00</t>
  </si>
  <si>
    <t>1206,RES,1/4W,200R±1%</t>
  </si>
  <si>
    <t>R6, R8, R129, R130, R135</t>
  </si>
  <si>
    <t>0410</t>
  </si>
  <si>
    <t>113-900001-00</t>
  </si>
  <si>
    <t>保险</t>
  </si>
  <si>
    <t>保险丝,1A,63V,12.000.1,1206,晶品</t>
  </si>
  <si>
    <t>F2</t>
  </si>
  <si>
    <t>0420</t>
  </si>
  <si>
    <t>114-100014-00</t>
  </si>
  <si>
    <t>差模电感</t>
  </si>
  <si>
    <t>贴片电感,10uH±20%,SLF7045,7*7*4.5mm</t>
  </si>
  <si>
    <t>L1</t>
  </si>
  <si>
    <t>0430</t>
  </si>
  <si>
    <t>114-100020-00</t>
  </si>
  <si>
    <t>贴片电感,10UH+/-10%,1206</t>
  </si>
  <si>
    <t>L2</t>
  </si>
  <si>
    <t>0440</t>
  </si>
  <si>
    <t>114-110059-00</t>
  </si>
  <si>
    <t>共模电感</t>
  </si>
  <si>
    <t>贴片电感,AMCW4532B-2-510T,-40°C-150°C</t>
  </si>
  <si>
    <t>L3, L4, L5</t>
  </si>
  <si>
    <t>0450</t>
  </si>
  <si>
    <t>116-600015-00</t>
  </si>
  <si>
    <t>晶振</t>
  </si>
  <si>
    <t>晶振,8.000MHz,1P208000BCOR,-40 ~85°C,12.0pF,,,rohs,KDS,SMD</t>
  </si>
  <si>
    <t>X1</t>
  </si>
  <si>
    <t>0460</t>
  </si>
  <si>
    <t>357-010000-00</t>
  </si>
  <si>
    <t>螺钉组合件</t>
  </si>
  <si>
    <t>M3X6,十字槽六角头三合一组合螺钉,GB 9074.13-88,镀环保彩锌</t>
  </si>
  <si>
    <t>LCD1</t>
  </si>
  <si>
    <t>0470</t>
  </si>
  <si>
    <t>117-200014-00</t>
  </si>
  <si>
    <t>排针</t>
  </si>
  <si>
    <t>单排排针,PH2.54,1*2P,180°,耐高温260℃</t>
  </si>
  <si>
    <t>J1</t>
  </si>
  <si>
    <t>0480</t>
  </si>
  <si>
    <t>122-S100001-01</t>
  </si>
  <si>
    <t>显示屏</t>
  </si>
  <si>
    <t>触摸LCD,华远显示,3.3V,HYG32048008G350-VA,LCD_TP</t>
  </si>
  <si>
    <t>0490</t>
  </si>
  <si>
    <t>353-S030003-00</t>
  </si>
  <si>
    <t>绝缘隔柱</t>
  </si>
  <si>
    <t>φ5*H3,LED间隔柱,品固/LED-3A</t>
  </si>
  <si>
    <t>LED1,LED2,LED3</t>
  </si>
  <si>
    <t>0500</t>
  </si>
  <si>
    <t>117-100006-01</t>
  </si>
  <si>
    <t>插座</t>
  </si>
  <si>
    <t>插座,XH2.54MM,1*4P,180°,白色,-40℃~105℃不带卡扣,无K脚,高温料,rohs,DIP</t>
  </si>
  <si>
    <t>新增元件品号20250423</t>
  </si>
  <si>
    <t>CN2</t>
  </si>
  <si>
    <t>0510</t>
  </si>
  <si>
    <t>113-100262-00</t>
  </si>
  <si>
    <t>贴片电阻,1206,1/4W,60.4R,±1%,200V,400V,500V,±100ppm℃,RC1206FR-0760R4L,国巨,RoHS,SMD</t>
  </si>
  <si>
    <t>新增元件品号20250523</t>
  </si>
  <si>
    <t>R95, R101</t>
  </si>
  <si>
    <t>0520</t>
  </si>
  <si>
    <t>112-200105-01</t>
  </si>
  <si>
    <t>安规电容</t>
  </si>
  <si>
    <t>C,Y2,250VAC,103M,Y5V,易利嘉,DCF103MY5VQ7M400</t>
  </si>
  <si>
    <t>新增元件品号20250530</t>
  </si>
  <si>
    <t>C73</t>
  </si>
  <si>
    <t>0530</t>
  </si>
  <si>
    <t>112-100003-00</t>
  </si>
  <si>
    <t>CCC,0603,50V,180±5%,NPO</t>
  </si>
  <si>
    <t>新增元件品号20250704</t>
  </si>
  <si>
    <t>C44,C45,C41,C43</t>
  </si>
  <si>
    <t>0560</t>
  </si>
  <si>
    <t>118-500088-00</t>
  </si>
  <si>
    <t>通讯板光板</t>
  </si>
  <si>
    <t>PCB,FLH-2.0,LCD,V1.3,FR4,2S,1/1OZ,1.6,TG150</t>
  </si>
  <si>
    <t>新增元件品号20250909</t>
  </si>
  <si>
    <t>PCB1</t>
  </si>
  <si>
    <t>0570</t>
  </si>
  <si>
    <t>116-600016-00</t>
  </si>
  <si>
    <t>晶振,32.768KHz,9H03290991,-40-105°C,12.5pF,,,rohs,TXC,SMD</t>
  </si>
  <si>
    <t>X2</t>
  </si>
  <si>
    <t>0580</t>
  </si>
  <si>
    <t>117-100212-00</t>
  </si>
  <si>
    <t>插座,347920040  A code,2.0mm,1*4PIN,180°,黑色,-40～105°C,渡锡,带卡扣,rohs,Molex,DIP</t>
  </si>
  <si>
    <t>CN1</t>
  </si>
  <si>
    <t>0590</t>
  </si>
  <si>
    <t>117-100215-00</t>
  </si>
  <si>
    <t>插座,347920041  B code,2.0mm,1x4PIN,180°,灰色,-40～105°C,渡锡,带卡扣,rohs,Molex,DIP</t>
  </si>
  <si>
    <t>CN5</t>
  </si>
  <si>
    <t>0600</t>
  </si>
  <si>
    <t>117-100213-00</t>
  </si>
  <si>
    <t>插座,347920080  A code,2.0mm,1*8PIN,180°,黑色,-40～105°C,渡锡,带卡扣,rohs,Molex,DIP</t>
  </si>
  <si>
    <t>CN3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</si>
</sst>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workbookViewId="0">
      <selection activeCell="A34" sqref="$A34:$XFD34"/>
    </sheetView>
  </sheetViews>
  <sheetFormatPr defaultColWidth="9" defaultRowHeight="13.5"/>
  <cols>
    <col min="1" max="1" width="6.625" style="2" customWidth="1"/>
    <col min="2" max="2" width="14.625" style="2" customWidth="1"/>
    <col min="3" max="3" width="15" customWidth="1"/>
    <col min="4" max="4" width="35.6" style="3" customWidth="1"/>
    <col min="5" max="6" width="3.875" style="4" customWidth="1"/>
    <col min="7" max="7" width="10.5" style="3" customWidth="1"/>
    <col min="8" max="8" width="37.1416666666667" style="3" customWidth="1"/>
    <col min="9" max="9" width="7.625" customWidth="1"/>
    <col min="10" max="10" width="12.5" customWidth="1"/>
  </cols>
  <sheetData>
    <row r="1" ht="36" customHeight="1" spans="1:1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="1" customFormat="1" ht="17" customHeight="1" spans="1:11">
      <c r="A2" s="7" t="s">
        <v>1</v>
      </c>
      <c r="B2" s="7" t="s">
        <v>2</v>
      </c>
      <c r="C2" s="7" t="s">
        <v>3</v>
      </c>
      <c r="D2" s="8" t="s">
        <v>4</v>
      </c>
      <c r="E2" s="7" t="s">
        <v>5</v>
      </c>
      <c r="F2" s="7" t="s">
        <v>6</v>
      </c>
      <c r="G2" s="8" t="s">
        <v>7</v>
      </c>
      <c r="H2" s="8" t="s">
        <v>8</v>
      </c>
      <c r="I2" s="9" t="s">
        <v>9</v>
      </c>
      <c r="J2" s="9" t="s">
        <v>7</v>
      </c>
      <c r="K2" s="9" t="s">
        <v>10</v>
      </c>
    </row>
    <row r="3" ht="45" spans="1:11">
      <c r="A3" s="10" t="s">
        <v>11</v>
      </c>
      <c r="B3" s="10" t="s">
        <v>12</v>
      </c>
      <c r="C3" s="11" t="s">
        <v>13</v>
      </c>
      <c r="D3" s="12" t="s">
        <v>14</v>
      </c>
      <c r="E3" s="10">
        <v>1</v>
      </c>
      <c r="F3" s="10" t="s">
        <v>15</v>
      </c>
      <c r="G3" s="12" t="s">
        <v>16</v>
      </c>
      <c r="H3" s="12" t="s">
        <v>17</v>
      </c>
      <c r="I3" s="13">
        <f>E3*292</f>
        <v>292</v>
      </c>
      <c r="J3" s="14"/>
      <c r="K3" s="14"/>
    </row>
    <row r="4" ht="30" spans="1:11">
      <c r="A4" s="10" t="s">
        <v>18</v>
      </c>
      <c r="B4" s="10" t="s">
        <v>19</v>
      </c>
      <c r="C4" s="11" t="s">
        <v>13</v>
      </c>
      <c r="D4" s="12" t="s">
        <v>20</v>
      </c>
      <c r="E4" s="10">
        <v>1</v>
      </c>
      <c r="F4" s="10" t="s">
        <v>15</v>
      </c>
      <c r="G4" s="12" t="s">
        <v>16</v>
      </c>
      <c r="H4" s="12" t="s">
        <v>21</v>
      </c>
      <c r="I4" s="13">
        <f t="shared" ref="I4:I35" si="0">E4*292</f>
        <v>292</v>
      </c>
      <c r="J4" s="14"/>
      <c r="K4" s="14"/>
    </row>
    <row r="5" ht="30" spans="1:11">
      <c r="A5" s="10" t="s">
        <v>22</v>
      </c>
      <c r="B5" s="10" t="s">
        <v>23</v>
      </c>
      <c r="C5" s="11" t="s">
        <v>13</v>
      </c>
      <c r="D5" s="12" t="s">
        <v>24</v>
      </c>
      <c r="E5" s="10">
        <v>2</v>
      </c>
      <c r="F5" s="10" t="s">
        <v>15</v>
      </c>
      <c r="G5" s="12" t="s">
        <v>16</v>
      </c>
      <c r="H5" s="12" t="s">
        <v>25</v>
      </c>
      <c r="I5" s="13">
        <f t="shared" si="0"/>
        <v>584</v>
      </c>
      <c r="J5" s="14"/>
      <c r="K5" s="14"/>
    </row>
    <row r="6" ht="30" spans="1:11">
      <c r="A6" s="10" t="s">
        <v>26</v>
      </c>
      <c r="B6" s="10" t="s">
        <v>27</v>
      </c>
      <c r="C6" s="11" t="s">
        <v>13</v>
      </c>
      <c r="D6" s="12" t="s">
        <v>28</v>
      </c>
      <c r="E6" s="10">
        <v>1</v>
      </c>
      <c r="F6" s="10" t="s">
        <v>15</v>
      </c>
      <c r="G6" s="12" t="s">
        <v>16</v>
      </c>
      <c r="H6" s="12" t="s">
        <v>29</v>
      </c>
      <c r="I6" s="13">
        <f t="shared" si="0"/>
        <v>292</v>
      </c>
      <c r="J6" s="14"/>
      <c r="K6" s="14"/>
    </row>
    <row r="7" ht="30" spans="1:11">
      <c r="A7" s="10" t="s">
        <v>30</v>
      </c>
      <c r="B7" s="10" t="s">
        <v>31</v>
      </c>
      <c r="C7" s="11" t="s">
        <v>13</v>
      </c>
      <c r="D7" s="12" t="s">
        <v>32</v>
      </c>
      <c r="E7" s="10">
        <v>1</v>
      </c>
      <c r="F7" s="10" t="s">
        <v>15</v>
      </c>
      <c r="G7" s="12" t="s">
        <v>16</v>
      </c>
      <c r="H7" s="12" t="s">
        <v>33</v>
      </c>
      <c r="I7" s="13">
        <f t="shared" si="0"/>
        <v>292</v>
      </c>
      <c r="J7" s="14"/>
      <c r="K7" s="14"/>
    </row>
    <row r="8" ht="30" spans="1:11">
      <c r="A8" s="10" t="s">
        <v>34</v>
      </c>
      <c r="B8" s="10" t="s">
        <v>35</v>
      </c>
      <c r="C8" s="11" t="s">
        <v>36</v>
      </c>
      <c r="D8" s="12" t="s">
        <v>37</v>
      </c>
      <c r="E8" s="10">
        <v>1</v>
      </c>
      <c r="F8" s="10" t="s">
        <v>15</v>
      </c>
      <c r="G8" s="12" t="s">
        <v>16</v>
      </c>
      <c r="H8" s="12" t="s">
        <v>38</v>
      </c>
      <c r="I8" s="13">
        <f t="shared" si="0"/>
        <v>292</v>
      </c>
      <c r="J8" s="14"/>
      <c r="K8" s="14"/>
    </row>
    <row r="9" ht="30" spans="1:11">
      <c r="A9" s="10" t="s">
        <v>39</v>
      </c>
      <c r="B9" s="10" t="s">
        <v>40</v>
      </c>
      <c r="C9" s="11" t="s">
        <v>41</v>
      </c>
      <c r="D9" s="12" t="s">
        <v>42</v>
      </c>
      <c r="E9" s="10">
        <v>1</v>
      </c>
      <c r="F9" s="10" t="s">
        <v>15</v>
      </c>
      <c r="G9" s="12" t="s">
        <v>16</v>
      </c>
      <c r="H9" s="12" t="s">
        <v>43</v>
      </c>
      <c r="I9" s="13">
        <f t="shared" si="0"/>
        <v>292</v>
      </c>
      <c r="J9" s="14"/>
      <c r="K9" s="14"/>
    </row>
    <row r="10" ht="30" spans="1:11">
      <c r="A10" s="10" t="s">
        <v>44</v>
      </c>
      <c r="B10" s="10" t="s">
        <v>45</v>
      </c>
      <c r="C10" s="11" t="s">
        <v>46</v>
      </c>
      <c r="D10" s="12" t="s">
        <v>47</v>
      </c>
      <c r="E10" s="10">
        <v>1</v>
      </c>
      <c r="F10" s="10" t="s">
        <v>15</v>
      </c>
      <c r="G10" s="12" t="s">
        <v>16</v>
      </c>
      <c r="H10" s="12" t="s">
        <v>48</v>
      </c>
      <c r="I10" s="13">
        <f t="shared" si="0"/>
        <v>292</v>
      </c>
      <c r="J10" s="14"/>
      <c r="K10" s="14"/>
    </row>
    <row r="11" ht="22" customHeight="1" spans="1:11">
      <c r="A11" s="10" t="s">
        <v>49</v>
      </c>
      <c r="B11" s="10" t="s">
        <v>50</v>
      </c>
      <c r="C11" s="11" t="s">
        <v>46</v>
      </c>
      <c r="D11" s="12" t="s">
        <v>51</v>
      </c>
      <c r="E11" s="10">
        <v>1</v>
      </c>
      <c r="F11" s="10" t="s">
        <v>15</v>
      </c>
      <c r="G11" s="12" t="s">
        <v>16</v>
      </c>
      <c r="H11" s="12" t="s">
        <v>52</v>
      </c>
      <c r="I11" s="13">
        <f t="shared" si="0"/>
        <v>292</v>
      </c>
      <c r="J11" s="14"/>
      <c r="K11" s="14"/>
    </row>
    <row r="12" ht="30" spans="1:11">
      <c r="A12" s="10" t="s">
        <v>53</v>
      </c>
      <c r="B12" s="10" t="s">
        <v>54</v>
      </c>
      <c r="C12" s="11" t="s">
        <v>55</v>
      </c>
      <c r="D12" s="12" t="s">
        <v>56</v>
      </c>
      <c r="E12" s="10">
        <v>3</v>
      </c>
      <c r="F12" s="10" t="s">
        <v>15</v>
      </c>
      <c r="G12" s="12" t="s">
        <v>16</v>
      </c>
      <c r="H12" s="12" t="s">
        <v>57</v>
      </c>
      <c r="I12" s="13">
        <f t="shared" si="0"/>
        <v>876</v>
      </c>
      <c r="J12" s="14"/>
      <c r="K12" s="14"/>
    </row>
    <row r="13" ht="22" customHeight="1" spans="1:11">
      <c r="A13" s="10" t="s">
        <v>58</v>
      </c>
      <c r="B13" s="10" t="s">
        <v>59</v>
      </c>
      <c r="C13" s="11" t="s">
        <v>60</v>
      </c>
      <c r="D13" s="12" t="s">
        <v>61</v>
      </c>
      <c r="E13" s="10">
        <v>2</v>
      </c>
      <c r="F13" s="10" t="s">
        <v>15</v>
      </c>
      <c r="G13" s="12" t="s">
        <v>16</v>
      </c>
      <c r="H13" s="12" t="s">
        <v>62</v>
      </c>
      <c r="I13" s="13">
        <f t="shared" si="0"/>
        <v>584</v>
      </c>
      <c r="J13" s="14"/>
      <c r="K13" s="14"/>
    </row>
    <row r="14" ht="60" spans="1:11">
      <c r="A14" s="10" t="s">
        <v>63</v>
      </c>
      <c r="B14" s="10" t="s">
        <v>64</v>
      </c>
      <c r="C14" s="11" t="s">
        <v>60</v>
      </c>
      <c r="D14" s="12" t="s">
        <v>65</v>
      </c>
      <c r="E14" s="10">
        <v>1</v>
      </c>
      <c r="F14" s="10" t="s">
        <v>15</v>
      </c>
      <c r="G14" s="12" t="s">
        <v>16</v>
      </c>
      <c r="H14" s="12" t="s">
        <v>66</v>
      </c>
      <c r="I14" s="13">
        <f t="shared" si="0"/>
        <v>292</v>
      </c>
      <c r="J14" s="14"/>
      <c r="K14" s="14"/>
    </row>
    <row r="15" ht="30" spans="1:11">
      <c r="A15" s="10" t="s">
        <v>67</v>
      </c>
      <c r="B15" s="10" t="s">
        <v>68</v>
      </c>
      <c r="C15" s="11" t="s">
        <v>69</v>
      </c>
      <c r="D15" s="12" t="s">
        <v>70</v>
      </c>
      <c r="E15" s="10">
        <v>7</v>
      </c>
      <c r="F15" s="10" t="s">
        <v>15</v>
      </c>
      <c r="G15" s="12" t="s">
        <v>16</v>
      </c>
      <c r="H15" s="12" t="s">
        <v>71</v>
      </c>
      <c r="I15" s="13">
        <f t="shared" si="0"/>
        <v>2044</v>
      </c>
      <c r="J15" s="14"/>
      <c r="K15" s="14"/>
    </row>
    <row r="16" ht="30" spans="1:11">
      <c r="A16" s="10" t="s">
        <v>72</v>
      </c>
      <c r="B16" s="10" t="s">
        <v>73</v>
      </c>
      <c r="C16" s="11" t="s">
        <v>74</v>
      </c>
      <c r="D16" s="12" t="s">
        <v>75</v>
      </c>
      <c r="E16" s="10">
        <v>1</v>
      </c>
      <c r="F16" s="10" t="s">
        <v>15</v>
      </c>
      <c r="G16" s="12" t="s">
        <v>16</v>
      </c>
      <c r="H16" s="12" t="s">
        <v>76</v>
      </c>
      <c r="I16" s="13">
        <f t="shared" si="0"/>
        <v>292</v>
      </c>
      <c r="J16" s="14"/>
      <c r="K16" s="14"/>
    </row>
    <row r="17" ht="45" spans="1:11">
      <c r="A17" s="10" t="s">
        <v>77</v>
      </c>
      <c r="B17" s="10" t="s">
        <v>78</v>
      </c>
      <c r="C17" s="11" t="s">
        <v>74</v>
      </c>
      <c r="D17" s="12" t="s">
        <v>79</v>
      </c>
      <c r="E17" s="10">
        <v>1</v>
      </c>
      <c r="F17" s="10" t="s">
        <v>15</v>
      </c>
      <c r="G17" s="12" t="s">
        <v>16</v>
      </c>
      <c r="H17" s="12" t="s">
        <v>80</v>
      </c>
      <c r="I17" s="13">
        <f t="shared" si="0"/>
        <v>292</v>
      </c>
      <c r="J17" s="14"/>
      <c r="K17" s="14"/>
    </row>
    <row r="18" ht="45" spans="1:11">
      <c r="A18" s="10" t="s">
        <v>81</v>
      </c>
      <c r="B18" s="10" t="s">
        <v>82</v>
      </c>
      <c r="C18" s="11" t="s">
        <v>74</v>
      </c>
      <c r="D18" s="12" t="s">
        <v>83</v>
      </c>
      <c r="E18" s="10">
        <v>1</v>
      </c>
      <c r="F18" s="10" t="s">
        <v>15</v>
      </c>
      <c r="G18" s="12" t="s">
        <v>16</v>
      </c>
      <c r="H18" s="12" t="s">
        <v>84</v>
      </c>
      <c r="I18" s="13">
        <f t="shared" si="0"/>
        <v>292</v>
      </c>
      <c r="J18" s="14"/>
      <c r="K18" s="14"/>
    </row>
    <row r="19" ht="30" spans="1:11">
      <c r="A19" s="10" t="s">
        <v>85</v>
      </c>
      <c r="B19" s="10" t="s">
        <v>86</v>
      </c>
      <c r="C19" s="11" t="s">
        <v>87</v>
      </c>
      <c r="D19" s="12" t="s">
        <v>88</v>
      </c>
      <c r="E19" s="10">
        <v>1</v>
      </c>
      <c r="F19" s="10" t="s">
        <v>15</v>
      </c>
      <c r="G19" s="12" t="s">
        <v>16</v>
      </c>
      <c r="H19" s="12" t="s">
        <v>89</v>
      </c>
      <c r="I19" s="13">
        <f t="shared" si="0"/>
        <v>292</v>
      </c>
      <c r="J19" s="14"/>
      <c r="K19" s="14"/>
    </row>
    <row r="20" ht="22" customHeight="1" spans="1:11">
      <c r="A20" s="10" t="s">
        <v>90</v>
      </c>
      <c r="B20" s="10" t="s">
        <v>91</v>
      </c>
      <c r="C20" s="11" t="s">
        <v>87</v>
      </c>
      <c r="D20" s="12" t="s">
        <v>92</v>
      </c>
      <c r="E20" s="10">
        <v>2</v>
      </c>
      <c r="F20" s="10" t="s">
        <v>15</v>
      </c>
      <c r="G20" s="12" t="s">
        <v>16</v>
      </c>
      <c r="H20" s="12" t="s">
        <v>93</v>
      </c>
      <c r="I20" s="13">
        <f t="shared" si="0"/>
        <v>584</v>
      </c>
      <c r="J20" s="14"/>
      <c r="K20" s="14"/>
    </row>
    <row r="21" ht="22" customHeight="1" spans="1:11">
      <c r="A21" s="10" t="s">
        <v>94</v>
      </c>
      <c r="B21" s="10" t="s">
        <v>95</v>
      </c>
      <c r="C21" s="11" t="s">
        <v>87</v>
      </c>
      <c r="D21" s="12" t="s">
        <v>96</v>
      </c>
      <c r="E21" s="10">
        <v>4</v>
      </c>
      <c r="F21" s="10" t="s">
        <v>15</v>
      </c>
      <c r="G21" s="12" t="s">
        <v>16</v>
      </c>
      <c r="H21" s="12" t="s">
        <v>97</v>
      </c>
      <c r="I21" s="13">
        <f t="shared" si="0"/>
        <v>1168</v>
      </c>
      <c r="J21" s="14"/>
      <c r="K21" s="14"/>
    </row>
    <row r="22" ht="22" customHeight="1" spans="1:11">
      <c r="A22" s="10" t="s">
        <v>98</v>
      </c>
      <c r="B22" s="10" t="s">
        <v>99</v>
      </c>
      <c r="C22" s="11" t="s">
        <v>87</v>
      </c>
      <c r="D22" s="12" t="s">
        <v>100</v>
      </c>
      <c r="E22" s="10">
        <v>5</v>
      </c>
      <c r="F22" s="10" t="s">
        <v>15</v>
      </c>
      <c r="G22" s="12" t="s">
        <v>16</v>
      </c>
      <c r="H22" s="12" t="s">
        <v>101</v>
      </c>
      <c r="I22" s="13">
        <f t="shared" si="0"/>
        <v>1460</v>
      </c>
      <c r="J22" s="14"/>
      <c r="K22" s="14"/>
    </row>
    <row r="23" ht="22" customHeight="1" spans="1:11">
      <c r="A23" s="10" t="s">
        <v>102</v>
      </c>
      <c r="B23" s="10" t="s">
        <v>103</v>
      </c>
      <c r="C23" s="11" t="s">
        <v>87</v>
      </c>
      <c r="D23" s="12" t="s">
        <v>104</v>
      </c>
      <c r="E23" s="10">
        <v>5</v>
      </c>
      <c r="F23" s="10" t="s">
        <v>15</v>
      </c>
      <c r="G23" s="12" t="s">
        <v>16</v>
      </c>
      <c r="H23" s="12" t="s">
        <v>105</v>
      </c>
      <c r="I23" s="13">
        <f t="shared" si="0"/>
        <v>1460</v>
      </c>
      <c r="J23" s="14"/>
      <c r="K23" s="14"/>
    </row>
    <row r="24" ht="45" spans="1:11">
      <c r="A24" s="10" t="s">
        <v>106</v>
      </c>
      <c r="B24" s="10" t="s">
        <v>107</v>
      </c>
      <c r="C24" s="11" t="s">
        <v>87</v>
      </c>
      <c r="D24" s="12" t="s">
        <v>108</v>
      </c>
      <c r="E24" s="10">
        <v>19</v>
      </c>
      <c r="F24" s="10" t="s">
        <v>15</v>
      </c>
      <c r="G24" s="12" t="s">
        <v>16</v>
      </c>
      <c r="H24" s="12" t="s">
        <v>109</v>
      </c>
      <c r="I24" s="13">
        <f t="shared" si="0"/>
        <v>5548</v>
      </c>
      <c r="J24" s="14"/>
      <c r="K24" s="14"/>
    </row>
    <row r="25" ht="22" customHeight="1" spans="1:11">
      <c r="A25" s="10" t="s">
        <v>110</v>
      </c>
      <c r="B25" s="10" t="s">
        <v>111</v>
      </c>
      <c r="C25" s="11" t="s">
        <v>87</v>
      </c>
      <c r="D25" s="12" t="s">
        <v>112</v>
      </c>
      <c r="E25" s="10">
        <v>6</v>
      </c>
      <c r="F25" s="10" t="s">
        <v>15</v>
      </c>
      <c r="G25" s="12" t="s">
        <v>16</v>
      </c>
      <c r="H25" s="12" t="s">
        <v>113</v>
      </c>
      <c r="I25" s="13">
        <f t="shared" si="0"/>
        <v>1752</v>
      </c>
      <c r="J25" s="14"/>
      <c r="K25" s="14"/>
    </row>
    <row r="26" ht="22" customHeight="1" spans="1:11">
      <c r="A26" s="10" t="s">
        <v>114</v>
      </c>
      <c r="B26" s="10" t="s">
        <v>115</v>
      </c>
      <c r="C26" s="11" t="s">
        <v>87</v>
      </c>
      <c r="D26" s="12" t="s">
        <v>116</v>
      </c>
      <c r="E26" s="10">
        <v>3</v>
      </c>
      <c r="F26" s="10" t="s">
        <v>15</v>
      </c>
      <c r="G26" s="12" t="s">
        <v>16</v>
      </c>
      <c r="H26" s="12" t="s">
        <v>117</v>
      </c>
      <c r="I26" s="13">
        <f t="shared" si="0"/>
        <v>876</v>
      </c>
      <c r="J26" s="14"/>
      <c r="K26" s="14"/>
    </row>
    <row r="27" ht="22" customHeight="1" spans="1:11">
      <c r="A27" s="10" t="s">
        <v>118</v>
      </c>
      <c r="B27" s="10" t="s">
        <v>119</v>
      </c>
      <c r="C27" s="11" t="s">
        <v>87</v>
      </c>
      <c r="D27" s="12" t="s">
        <v>120</v>
      </c>
      <c r="E27" s="10">
        <v>6</v>
      </c>
      <c r="F27" s="10" t="s">
        <v>15</v>
      </c>
      <c r="G27" s="12" t="s">
        <v>16</v>
      </c>
      <c r="H27" s="12" t="s">
        <v>121</v>
      </c>
      <c r="I27" s="13">
        <f t="shared" si="0"/>
        <v>1752</v>
      </c>
      <c r="J27" s="14"/>
      <c r="K27" s="14"/>
    </row>
    <row r="28" ht="22" customHeight="1" spans="1:11">
      <c r="A28" s="10" t="s">
        <v>122</v>
      </c>
      <c r="B28" s="10" t="s">
        <v>123</v>
      </c>
      <c r="C28" s="11" t="s">
        <v>124</v>
      </c>
      <c r="D28" s="12" t="s">
        <v>125</v>
      </c>
      <c r="E28" s="10">
        <v>4</v>
      </c>
      <c r="F28" s="10" t="s">
        <v>15</v>
      </c>
      <c r="G28" s="12" t="s">
        <v>16</v>
      </c>
      <c r="H28" s="12" t="s">
        <v>126</v>
      </c>
      <c r="I28" s="13">
        <f t="shared" si="0"/>
        <v>1168</v>
      </c>
      <c r="J28" s="14"/>
      <c r="K28" s="14"/>
    </row>
    <row r="29" ht="22" customHeight="1" spans="1:11">
      <c r="A29" s="10" t="s">
        <v>127</v>
      </c>
      <c r="B29" s="10" t="s">
        <v>128</v>
      </c>
      <c r="C29" s="11" t="s">
        <v>124</v>
      </c>
      <c r="D29" s="12" t="s">
        <v>129</v>
      </c>
      <c r="E29" s="10">
        <v>7</v>
      </c>
      <c r="F29" s="10" t="s">
        <v>15</v>
      </c>
      <c r="G29" s="12" t="s">
        <v>16</v>
      </c>
      <c r="H29" s="12" t="s">
        <v>130</v>
      </c>
      <c r="I29" s="13">
        <f t="shared" si="0"/>
        <v>2044</v>
      </c>
      <c r="J29" s="14"/>
      <c r="K29" s="14"/>
    </row>
    <row r="30" ht="72" customHeight="1" spans="1:11">
      <c r="A30" s="10" t="s">
        <v>131</v>
      </c>
      <c r="B30" s="10" t="s">
        <v>132</v>
      </c>
      <c r="C30" s="11" t="s">
        <v>124</v>
      </c>
      <c r="D30" s="12" t="s">
        <v>133</v>
      </c>
      <c r="E30" s="10">
        <v>30</v>
      </c>
      <c r="F30" s="10" t="s">
        <v>15</v>
      </c>
      <c r="G30" s="12" t="s">
        <v>16</v>
      </c>
      <c r="H30" s="12" t="s">
        <v>134</v>
      </c>
      <c r="I30" s="13">
        <f t="shared" si="0"/>
        <v>8760</v>
      </c>
      <c r="J30" s="14"/>
      <c r="K30" s="14"/>
    </row>
    <row r="31" ht="22" customHeight="1" spans="1:11">
      <c r="A31" s="10" t="s">
        <v>135</v>
      </c>
      <c r="B31" s="10" t="s">
        <v>136</v>
      </c>
      <c r="C31" s="11" t="s">
        <v>124</v>
      </c>
      <c r="D31" s="12" t="s">
        <v>137</v>
      </c>
      <c r="E31" s="10">
        <v>2</v>
      </c>
      <c r="F31" s="10" t="s">
        <v>15</v>
      </c>
      <c r="G31" s="12" t="s">
        <v>16</v>
      </c>
      <c r="H31" s="12" t="s">
        <v>138</v>
      </c>
      <c r="I31" s="13">
        <f t="shared" si="0"/>
        <v>584</v>
      </c>
      <c r="J31" s="14"/>
      <c r="K31" s="14"/>
    </row>
    <row r="32" ht="22" customHeight="1" spans="1:11">
      <c r="A32" s="10" t="s">
        <v>139</v>
      </c>
      <c r="B32" s="10" t="s">
        <v>140</v>
      </c>
      <c r="C32" s="11" t="s">
        <v>124</v>
      </c>
      <c r="D32" s="12" t="s">
        <v>141</v>
      </c>
      <c r="E32" s="10">
        <v>5</v>
      </c>
      <c r="F32" s="10" t="s">
        <v>15</v>
      </c>
      <c r="G32" s="12" t="s">
        <v>16</v>
      </c>
      <c r="H32" s="12" t="s">
        <v>142</v>
      </c>
      <c r="I32" s="13">
        <f t="shared" si="0"/>
        <v>1460</v>
      </c>
      <c r="J32" s="14"/>
      <c r="K32" s="14"/>
    </row>
    <row r="33" ht="22" customHeight="1" spans="1:11">
      <c r="A33" s="10" t="s">
        <v>143</v>
      </c>
      <c r="B33" s="10" t="s">
        <v>144</v>
      </c>
      <c r="C33" s="11" t="s">
        <v>124</v>
      </c>
      <c r="D33" s="12" t="s">
        <v>145</v>
      </c>
      <c r="E33" s="10">
        <v>5</v>
      </c>
      <c r="F33" s="10" t="s">
        <v>15</v>
      </c>
      <c r="G33" s="12" t="s">
        <v>16</v>
      </c>
      <c r="H33" s="12" t="s">
        <v>146</v>
      </c>
      <c r="I33" s="13">
        <f t="shared" si="0"/>
        <v>1460</v>
      </c>
      <c r="J33" s="14"/>
      <c r="K33" s="14"/>
    </row>
    <row r="34" ht="87" customHeight="1" spans="1:11">
      <c r="A34" s="10" t="s">
        <v>147</v>
      </c>
      <c r="B34" s="10" t="s">
        <v>148</v>
      </c>
      <c r="C34" s="11" t="s">
        <v>124</v>
      </c>
      <c r="D34" s="12" t="s">
        <v>149</v>
      </c>
      <c r="E34" s="10">
        <v>49</v>
      </c>
      <c r="F34" s="10" t="s">
        <v>15</v>
      </c>
      <c r="G34" s="12" t="s">
        <v>16</v>
      </c>
      <c r="H34" s="12" t="s">
        <v>150</v>
      </c>
      <c r="I34" s="13">
        <f t="shared" si="0"/>
        <v>14308</v>
      </c>
      <c r="J34" s="14"/>
      <c r="K34" s="14"/>
    </row>
    <row r="35" ht="22" customHeight="1" spans="1:11">
      <c r="A35" s="10" t="s">
        <v>151</v>
      </c>
      <c r="B35" s="10" t="s">
        <v>152</v>
      </c>
      <c r="C35" s="11" t="s">
        <v>124</v>
      </c>
      <c r="D35" s="12" t="s">
        <v>153</v>
      </c>
      <c r="E35" s="10">
        <v>3</v>
      </c>
      <c r="F35" s="10" t="s">
        <v>15</v>
      </c>
      <c r="G35" s="12" t="s">
        <v>16</v>
      </c>
      <c r="H35" s="12" t="s">
        <v>154</v>
      </c>
      <c r="I35" s="13">
        <f t="shared" si="0"/>
        <v>876</v>
      </c>
      <c r="J35" s="14"/>
      <c r="K35" s="14"/>
    </row>
    <row r="36" ht="22" customHeight="1" spans="1:11">
      <c r="A36" s="10" t="s">
        <v>155</v>
      </c>
      <c r="B36" s="10" t="s">
        <v>156</v>
      </c>
      <c r="C36" s="11" t="s">
        <v>124</v>
      </c>
      <c r="D36" s="12" t="s">
        <v>157</v>
      </c>
      <c r="E36" s="10">
        <v>4</v>
      </c>
      <c r="F36" s="10" t="s">
        <v>15</v>
      </c>
      <c r="G36" s="12" t="s">
        <v>16</v>
      </c>
      <c r="H36" s="12" t="s">
        <v>158</v>
      </c>
      <c r="I36" s="13">
        <f t="shared" ref="I36:I60" si="1">E36*292</f>
        <v>1168</v>
      </c>
      <c r="J36" s="14"/>
      <c r="K36" s="14"/>
    </row>
    <row r="37" ht="22" customHeight="1" spans="1:11">
      <c r="A37" s="10" t="s">
        <v>159</v>
      </c>
      <c r="B37" s="10" t="s">
        <v>160</v>
      </c>
      <c r="C37" s="11" t="s">
        <v>124</v>
      </c>
      <c r="D37" s="12" t="s">
        <v>161</v>
      </c>
      <c r="E37" s="10">
        <v>3</v>
      </c>
      <c r="F37" s="10" t="s">
        <v>15</v>
      </c>
      <c r="G37" s="12" t="s">
        <v>16</v>
      </c>
      <c r="H37" s="12" t="s">
        <v>162</v>
      </c>
      <c r="I37" s="13">
        <f t="shared" si="1"/>
        <v>876</v>
      </c>
      <c r="J37" s="14"/>
      <c r="K37" s="14"/>
    </row>
    <row r="38" ht="22" customHeight="1" spans="1:11">
      <c r="A38" s="10" t="s">
        <v>163</v>
      </c>
      <c r="B38" s="10" t="s">
        <v>164</v>
      </c>
      <c r="C38" s="11" t="s">
        <v>124</v>
      </c>
      <c r="D38" s="12" t="s">
        <v>165</v>
      </c>
      <c r="E38" s="10">
        <v>1</v>
      </c>
      <c r="F38" s="10" t="s">
        <v>15</v>
      </c>
      <c r="G38" s="12" t="s">
        <v>16</v>
      </c>
      <c r="H38" s="12" t="s">
        <v>166</v>
      </c>
      <c r="I38" s="13">
        <f t="shared" si="1"/>
        <v>292</v>
      </c>
      <c r="J38" s="14"/>
      <c r="K38" s="14"/>
    </row>
    <row r="39" ht="22" customHeight="1" spans="1:11">
      <c r="A39" s="10" t="s">
        <v>167</v>
      </c>
      <c r="B39" s="10" t="s">
        <v>168</v>
      </c>
      <c r="C39" s="11" t="s">
        <v>124</v>
      </c>
      <c r="D39" s="12" t="s">
        <v>169</v>
      </c>
      <c r="E39" s="10">
        <v>1</v>
      </c>
      <c r="F39" s="10" t="s">
        <v>15</v>
      </c>
      <c r="G39" s="12" t="s">
        <v>16</v>
      </c>
      <c r="H39" s="12" t="s">
        <v>170</v>
      </c>
      <c r="I39" s="13">
        <f t="shared" si="1"/>
        <v>292</v>
      </c>
      <c r="J39" s="14"/>
      <c r="K39" s="14"/>
    </row>
    <row r="40" ht="22" customHeight="1" spans="1:11">
      <c r="A40" s="10" t="s">
        <v>171</v>
      </c>
      <c r="B40" s="10" t="s">
        <v>172</v>
      </c>
      <c r="C40" s="11" t="s">
        <v>124</v>
      </c>
      <c r="D40" s="12" t="s">
        <v>173</v>
      </c>
      <c r="E40" s="10">
        <v>2</v>
      </c>
      <c r="F40" s="10" t="s">
        <v>15</v>
      </c>
      <c r="G40" s="12" t="s">
        <v>16</v>
      </c>
      <c r="H40" s="12" t="s">
        <v>174</v>
      </c>
      <c r="I40" s="13">
        <f t="shared" si="1"/>
        <v>584</v>
      </c>
      <c r="J40" s="14"/>
      <c r="K40" s="14"/>
    </row>
    <row r="41" ht="22" customHeight="1" spans="1:11">
      <c r="A41" s="10" t="s">
        <v>175</v>
      </c>
      <c r="B41" s="10" t="s">
        <v>176</v>
      </c>
      <c r="C41" s="11" t="s">
        <v>124</v>
      </c>
      <c r="D41" s="12" t="s">
        <v>177</v>
      </c>
      <c r="E41" s="10">
        <v>8</v>
      </c>
      <c r="F41" s="10" t="s">
        <v>15</v>
      </c>
      <c r="G41" s="12" t="s">
        <v>16</v>
      </c>
      <c r="H41" s="12" t="s">
        <v>178</v>
      </c>
      <c r="I41" s="13">
        <f t="shared" si="1"/>
        <v>2336</v>
      </c>
      <c r="J41" s="14"/>
      <c r="K41" s="14"/>
    </row>
    <row r="42" ht="22" customHeight="1" spans="1:11">
      <c r="A42" s="10" t="s">
        <v>179</v>
      </c>
      <c r="B42" s="10" t="s">
        <v>180</v>
      </c>
      <c r="C42" s="11" t="s">
        <v>124</v>
      </c>
      <c r="D42" s="12" t="s">
        <v>181</v>
      </c>
      <c r="E42" s="10">
        <v>5</v>
      </c>
      <c r="F42" s="10" t="s">
        <v>15</v>
      </c>
      <c r="G42" s="12" t="s">
        <v>16</v>
      </c>
      <c r="H42" s="12" t="s">
        <v>182</v>
      </c>
      <c r="I42" s="13">
        <f t="shared" si="1"/>
        <v>1460</v>
      </c>
      <c r="J42" s="14"/>
      <c r="K42" s="14"/>
    </row>
    <row r="43" ht="22" customHeight="1" spans="1:11">
      <c r="A43" s="10" t="s">
        <v>183</v>
      </c>
      <c r="B43" s="10" t="s">
        <v>184</v>
      </c>
      <c r="C43" s="11" t="s">
        <v>185</v>
      </c>
      <c r="D43" s="12" t="s">
        <v>186</v>
      </c>
      <c r="E43" s="10">
        <v>1</v>
      </c>
      <c r="F43" s="10" t="s">
        <v>15</v>
      </c>
      <c r="G43" s="12" t="s">
        <v>16</v>
      </c>
      <c r="H43" s="12" t="s">
        <v>187</v>
      </c>
      <c r="I43" s="13">
        <f t="shared" si="1"/>
        <v>292</v>
      </c>
      <c r="J43" s="14"/>
      <c r="K43" s="14"/>
    </row>
    <row r="44" ht="28.5" spans="1:11">
      <c r="A44" s="10" t="s">
        <v>188</v>
      </c>
      <c r="B44" s="10" t="s">
        <v>189</v>
      </c>
      <c r="C44" s="11" t="s">
        <v>190</v>
      </c>
      <c r="D44" s="12" t="s">
        <v>191</v>
      </c>
      <c r="E44" s="10">
        <v>1</v>
      </c>
      <c r="F44" s="10" t="s">
        <v>15</v>
      </c>
      <c r="G44" s="12" t="s">
        <v>16</v>
      </c>
      <c r="H44" s="12" t="s">
        <v>192</v>
      </c>
      <c r="I44" s="13">
        <f t="shared" si="1"/>
        <v>292</v>
      </c>
      <c r="J44" s="14"/>
      <c r="K44" s="14"/>
    </row>
    <row r="45" ht="22" customHeight="1" spans="1:11">
      <c r="A45" s="10" t="s">
        <v>193</v>
      </c>
      <c r="B45" s="10" t="s">
        <v>194</v>
      </c>
      <c r="C45" s="11" t="s">
        <v>190</v>
      </c>
      <c r="D45" s="12" t="s">
        <v>195</v>
      </c>
      <c r="E45" s="10">
        <v>1</v>
      </c>
      <c r="F45" s="10" t="s">
        <v>15</v>
      </c>
      <c r="G45" s="12" t="s">
        <v>16</v>
      </c>
      <c r="H45" s="12" t="s">
        <v>196</v>
      </c>
      <c r="I45" s="13">
        <f t="shared" si="1"/>
        <v>292</v>
      </c>
      <c r="J45" s="14"/>
      <c r="K45" s="14"/>
    </row>
    <row r="46" ht="30" spans="1:11">
      <c r="A46" s="10" t="s">
        <v>197</v>
      </c>
      <c r="B46" s="10" t="s">
        <v>198</v>
      </c>
      <c r="C46" s="11" t="s">
        <v>199</v>
      </c>
      <c r="D46" s="12" t="s">
        <v>200</v>
      </c>
      <c r="E46" s="10">
        <v>3</v>
      </c>
      <c r="F46" s="10" t="s">
        <v>15</v>
      </c>
      <c r="G46" s="12" t="s">
        <v>16</v>
      </c>
      <c r="H46" s="12" t="s">
        <v>201</v>
      </c>
      <c r="I46" s="13">
        <f t="shared" si="1"/>
        <v>876</v>
      </c>
      <c r="J46" s="14"/>
      <c r="K46" s="14"/>
    </row>
    <row r="47" ht="30" spans="1:11">
      <c r="A47" s="10" t="s">
        <v>202</v>
      </c>
      <c r="B47" s="10" t="s">
        <v>203</v>
      </c>
      <c r="C47" s="11" t="s">
        <v>204</v>
      </c>
      <c r="D47" s="12" t="s">
        <v>205</v>
      </c>
      <c r="E47" s="10">
        <v>1</v>
      </c>
      <c r="F47" s="10" t="s">
        <v>15</v>
      </c>
      <c r="G47" s="12" t="s">
        <v>16</v>
      </c>
      <c r="H47" s="12" t="s">
        <v>206</v>
      </c>
      <c r="I47" s="13">
        <f t="shared" si="1"/>
        <v>292</v>
      </c>
      <c r="J47" s="14"/>
      <c r="K47" s="14"/>
    </row>
    <row r="48" ht="30" spans="1:11">
      <c r="A48" s="10" t="s">
        <v>207</v>
      </c>
      <c r="B48" s="10" t="s">
        <v>208</v>
      </c>
      <c r="C48" s="11" t="s">
        <v>209</v>
      </c>
      <c r="D48" s="12" t="s">
        <v>210</v>
      </c>
      <c r="E48" s="10">
        <v>4</v>
      </c>
      <c r="F48" s="10" t="s">
        <v>15</v>
      </c>
      <c r="G48" s="12" t="s">
        <v>16</v>
      </c>
      <c r="H48" s="12" t="s">
        <v>211</v>
      </c>
      <c r="I48" s="13">
        <f t="shared" si="1"/>
        <v>1168</v>
      </c>
      <c r="J48" s="14"/>
      <c r="K48" s="14"/>
    </row>
    <row r="49" ht="28.5" spans="1:11">
      <c r="A49" s="10" t="s">
        <v>212</v>
      </c>
      <c r="B49" s="10" t="s">
        <v>213</v>
      </c>
      <c r="C49" s="11" t="s">
        <v>214</v>
      </c>
      <c r="D49" s="12" t="s">
        <v>215</v>
      </c>
      <c r="E49" s="10">
        <v>1</v>
      </c>
      <c r="F49" s="10" t="s">
        <v>15</v>
      </c>
      <c r="G49" s="12" t="s">
        <v>16</v>
      </c>
      <c r="H49" s="12" t="s">
        <v>216</v>
      </c>
      <c r="I49" s="13">
        <f t="shared" si="1"/>
        <v>292</v>
      </c>
      <c r="J49" s="14"/>
      <c r="K49" s="14"/>
    </row>
    <row r="50" ht="30" spans="1:11">
      <c r="A50" s="10" t="s">
        <v>217</v>
      </c>
      <c r="B50" s="10" t="s">
        <v>218</v>
      </c>
      <c r="C50" s="11" t="s">
        <v>219</v>
      </c>
      <c r="D50" s="12" t="s">
        <v>220</v>
      </c>
      <c r="E50" s="10">
        <v>1</v>
      </c>
      <c r="F50" s="10" t="s">
        <v>15</v>
      </c>
      <c r="G50" s="12" t="s">
        <v>16</v>
      </c>
      <c r="H50" s="12" t="s">
        <v>211</v>
      </c>
      <c r="I50" s="13">
        <f t="shared" si="1"/>
        <v>292</v>
      </c>
      <c r="J50" s="14"/>
      <c r="K50" s="14"/>
    </row>
    <row r="51" ht="22" customHeight="1" spans="1:11">
      <c r="A51" s="10" t="s">
        <v>221</v>
      </c>
      <c r="B51" s="10" t="s">
        <v>222</v>
      </c>
      <c r="C51" s="11" t="s">
        <v>223</v>
      </c>
      <c r="D51" s="12" t="s">
        <v>224</v>
      </c>
      <c r="E51" s="10">
        <v>3</v>
      </c>
      <c r="F51" s="10" t="s">
        <v>15</v>
      </c>
      <c r="G51" s="12" t="s">
        <v>16</v>
      </c>
      <c r="H51" s="12" t="s">
        <v>225</v>
      </c>
      <c r="I51" s="13">
        <f t="shared" si="1"/>
        <v>876</v>
      </c>
      <c r="J51" s="14"/>
      <c r="K51" s="14"/>
    </row>
    <row r="52" ht="45" spans="1:11">
      <c r="A52" s="10" t="s">
        <v>226</v>
      </c>
      <c r="B52" s="10" t="s">
        <v>227</v>
      </c>
      <c r="C52" s="11" t="s">
        <v>228</v>
      </c>
      <c r="D52" s="12" t="s">
        <v>229</v>
      </c>
      <c r="E52" s="10">
        <v>1</v>
      </c>
      <c r="F52" s="10" t="s">
        <v>15</v>
      </c>
      <c r="G52" s="12" t="s">
        <v>230</v>
      </c>
      <c r="H52" s="12" t="s">
        <v>231</v>
      </c>
      <c r="I52" s="13">
        <f t="shared" si="1"/>
        <v>292</v>
      </c>
      <c r="J52" s="14"/>
      <c r="K52" s="14"/>
    </row>
    <row r="53" ht="72" spans="1:11">
      <c r="A53" s="10" t="s">
        <v>232</v>
      </c>
      <c r="B53" s="10" t="s">
        <v>233</v>
      </c>
      <c r="C53" s="11" t="s">
        <v>124</v>
      </c>
      <c r="D53" s="12" t="s">
        <v>234</v>
      </c>
      <c r="E53" s="10">
        <v>2</v>
      </c>
      <c r="F53" s="10" t="s">
        <v>15</v>
      </c>
      <c r="G53" s="12" t="s">
        <v>235</v>
      </c>
      <c r="H53" s="12" t="s">
        <v>236</v>
      </c>
      <c r="I53" s="13">
        <f t="shared" si="1"/>
        <v>584</v>
      </c>
      <c r="J53" s="14"/>
      <c r="K53" s="14"/>
    </row>
    <row r="54" ht="30" spans="1:11">
      <c r="A54" s="10" t="s">
        <v>237</v>
      </c>
      <c r="B54" s="10" t="s">
        <v>238</v>
      </c>
      <c r="C54" s="11" t="s">
        <v>239</v>
      </c>
      <c r="D54" s="12" t="s">
        <v>240</v>
      </c>
      <c r="E54" s="10">
        <v>1</v>
      </c>
      <c r="F54" s="10" t="s">
        <v>15</v>
      </c>
      <c r="G54" s="12" t="s">
        <v>241</v>
      </c>
      <c r="H54" s="12" t="s">
        <v>242</v>
      </c>
      <c r="I54" s="13">
        <f t="shared" si="1"/>
        <v>292</v>
      </c>
      <c r="J54" s="14"/>
      <c r="K54" s="14"/>
    </row>
    <row r="55" ht="28.5" spans="1:11">
      <c r="A55" s="10" t="s">
        <v>243</v>
      </c>
      <c r="B55" s="10" t="s">
        <v>244</v>
      </c>
      <c r="C55" s="11" t="s">
        <v>87</v>
      </c>
      <c r="D55" s="12" t="s">
        <v>245</v>
      </c>
      <c r="E55" s="10">
        <v>4</v>
      </c>
      <c r="F55" s="10" t="s">
        <v>15</v>
      </c>
      <c r="G55" s="12" t="s">
        <v>246</v>
      </c>
      <c r="H55" s="12" t="s">
        <v>247</v>
      </c>
      <c r="I55" s="13">
        <f t="shared" si="1"/>
        <v>1168</v>
      </c>
      <c r="J55" s="14"/>
      <c r="K55" s="14"/>
    </row>
    <row r="56" ht="30" spans="1:11">
      <c r="A56" s="10" t="s">
        <v>248</v>
      </c>
      <c r="B56" s="10" t="s">
        <v>249</v>
      </c>
      <c r="C56" s="11" t="s">
        <v>250</v>
      </c>
      <c r="D56" s="12" t="s">
        <v>251</v>
      </c>
      <c r="E56" s="10">
        <v>1</v>
      </c>
      <c r="F56" s="10" t="s">
        <v>15</v>
      </c>
      <c r="G56" s="12" t="s">
        <v>252</v>
      </c>
      <c r="H56" s="12" t="s">
        <v>253</v>
      </c>
      <c r="I56" s="13">
        <f t="shared" si="1"/>
        <v>292</v>
      </c>
      <c r="J56" s="14"/>
      <c r="K56" s="14"/>
    </row>
    <row r="57" ht="30" spans="1:11">
      <c r="A57" s="10" t="s">
        <v>254</v>
      </c>
      <c r="B57" s="10" t="s">
        <v>255</v>
      </c>
      <c r="C57" s="11" t="s">
        <v>204</v>
      </c>
      <c r="D57" s="12" t="s">
        <v>256</v>
      </c>
      <c r="E57" s="10">
        <v>1</v>
      </c>
      <c r="F57" s="10" t="s">
        <v>15</v>
      </c>
      <c r="G57" s="12" t="s">
        <v>252</v>
      </c>
      <c r="H57" s="12" t="s">
        <v>257</v>
      </c>
      <c r="I57" s="13">
        <f t="shared" si="1"/>
        <v>292</v>
      </c>
      <c r="J57" s="14"/>
      <c r="K57" s="14"/>
    </row>
    <row r="58" ht="45" spans="1:11">
      <c r="A58" s="10" t="s">
        <v>258</v>
      </c>
      <c r="B58" s="10" t="s">
        <v>259</v>
      </c>
      <c r="C58" s="11" t="s">
        <v>228</v>
      </c>
      <c r="D58" s="12" t="s">
        <v>260</v>
      </c>
      <c r="E58" s="10">
        <v>1</v>
      </c>
      <c r="F58" s="10" t="s">
        <v>15</v>
      </c>
      <c r="G58" s="12" t="s">
        <v>252</v>
      </c>
      <c r="H58" s="12" t="s">
        <v>261</v>
      </c>
      <c r="I58" s="13">
        <f t="shared" si="1"/>
        <v>292</v>
      </c>
      <c r="J58" s="14"/>
      <c r="K58" s="14"/>
    </row>
    <row r="59" ht="45" spans="1:11">
      <c r="A59" s="10" t="s">
        <v>262</v>
      </c>
      <c r="B59" s="10" t="s">
        <v>263</v>
      </c>
      <c r="C59" s="11" t="s">
        <v>228</v>
      </c>
      <c r="D59" s="12" t="s">
        <v>264</v>
      </c>
      <c r="E59" s="10">
        <v>1</v>
      </c>
      <c r="F59" s="10" t="s">
        <v>15</v>
      </c>
      <c r="G59" s="12" t="s">
        <v>252</v>
      </c>
      <c r="H59" s="12" t="s">
        <v>265</v>
      </c>
      <c r="I59" s="13">
        <f t="shared" si="1"/>
        <v>292</v>
      </c>
      <c r="J59" s="14"/>
      <c r="K59" s="14"/>
    </row>
    <row r="60" ht="45" spans="1:11">
      <c r="A60" s="10" t="s">
        <v>266</v>
      </c>
      <c r="B60" s="10" t="s">
        <v>267</v>
      </c>
      <c r="C60" s="11" t="s">
        <v>228</v>
      </c>
      <c r="D60" s="12" t="s">
        <v>268</v>
      </c>
      <c r="E60" s="10">
        <v>1</v>
      </c>
      <c r="F60" s="10" t="s">
        <v>15</v>
      </c>
      <c r="G60" s="12" t="s">
        <v>252</v>
      </c>
      <c r="H60" s="12" t="s">
        <v>269</v>
      </c>
      <c r="I60" s="13">
        <f t="shared" si="1"/>
        <v>292</v>
      </c>
      <c r="J60" s="14"/>
      <c r="K60" s="14"/>
    </row>
  </sheetData>
  <mergeCells count="1">
    <mergeCell ref="A1:K1"/>
  </mergeCells>
  <pageMargins left="0.0784722222222222" right="0.0784722222222222" top="0.236111111111111" bottom="0.156944444444444" header="0.236111111111111" footer="0.118055555555556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熊大大</cp:lastModifiedBy>
  <dcterms:created xsi:type="dcterms:W3CDTF">2026-01-27T07:22:00Z</dcterms:created>
  <dcterms:modified xsi:type="dcterms:W3CDTF">2026-02-06T13:00:10Z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A9317ABB70004328A310FB31183F53E8_12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