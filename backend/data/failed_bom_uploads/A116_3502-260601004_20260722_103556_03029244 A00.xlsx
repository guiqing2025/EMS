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Sheet" sheetId="1" r:id="rId1"/>
    <sheet name="复制" sheetId="2" r:id="rId2"/>
    <sheet name="SMT" sheetId="3" r:id="rId3"/>
    <sheet name="DIP" sheetId="4" r:id="rId4"/>
    <sheet name="smt备料用" sheetId="5" r:id="rId5"/>
    <sheet name="DIP备料用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<sst xmlns="http://schemas.openxmlformats.org/spreadsheetml/2006/main" count="502" uniqueCount="107">
  <si>
    <r>
      <rPr>
        <b/>
        <sz val="18"/>
        <color rgb="FF000000"/>
        <rFont val="宋体"/>
        <charset val="134"/>
      </rPr>
      <t>客户：</t>
    </r>
    <r>
      <rPr>
        <b/>
        <sz val="18"/>
        <color rgb="FF000000"/>
        <rFont val="Calibri"/>
        <charset val="134"/>
      </rPr>
      <t xml:space="preserve">A116       03029244         </t>
    </r>
    <r>
      <rPr>
        <b/>
        <sz val="18"/>
        <color rgb="FF000000"/>
        <rFont val="宋体"/>
        <charset val="134"/>
      </rPr>
      <t>订单800套</t>
    </r>
    <r>
      <rPr>
        <b/>
        <sz val="18"/>
        <color rgb="FF000000"/>
        <rFont val="Calibri"/>
        <charset val="134"/>
      </rPr>
      <t xml:space="preserve">     FD       SMT+DIP   </t>
    </r>
    <r>
      <rPr>
        <b/>
        <sz val="18"/>
        <color rgb="FF000000"/>
        <rFont val="宋体"/>
        <charset val="134"/>
      </rPr>
      <t>订单号：3502-251119002</t>
    </r>
  </si>
  <si>
    <t>工厂</t>
  </si>
  <si>
    <t>元件品号</t>
  </si>
  <si>
    <t>元件品名</t>
  </si>
  <si>
    <t>元件规格</t>
  </si>
  <si>
    <t>单位</t>
  </si>
  <si>
    <t>用量</t>
  </si>
  <si>
    <t>插件位置</t>
  </si>
  <si>
    <t>需求</t>
  </si>
  <si>
    <t>备注</t>
  </si>
  <si>
    <t>退料数</t>
  </si>
  <si>
    <t>1</t>
  </si>
  <si>
    <t>03019240</t>
  </si>
  <si>
    <t>印制板</t>
  </si>
  <si>
    <t>印制板_SinE100AA5_JN_通信转接板</t>
  </si>
  <si>
    <t>PCS</t>
  </si>
  <si>
    <t xml:space="preserve"> </t>
  </si>
  <si>
    <t>2</t>
  </si>
  <si>
    <t>14080102</t>
  </si>
  <si>
    <t>数据通信口</t>
  </si>
  <si>
    <t>网口连接器-1端口-8PIN8位-屏蔽-弯/插座-3.56-UL-带固定引脚-</t>
  </si>
  <si>
    <t>J1</t>
  </si>
  <si>
    <t>3</t>
  </si>
  <si>
    <t>14100291</t>
  </si>
  <si>
    <t>普通接插件插座</t>
  </si>
  <si>
    <t>普通插座-2Pin-300V-10A-单排-弯脚-5.08mm-3.90mm-</t>
  </si>
  <si>
    <t>J2,J3</t>
  </si>
  <si>
    <t>4</t>
  </si>
  <si>
    <t>14129003</t>
  </si>
  <si>
    <t>普通接插件插头</t>
  </si>
  <si>
    <t>插座公头-2PIN-250V-12A-直-单排-5.08mm-3.9mm-无法兰-UL-</t>
  </si>
  <si>
    <t>5</t>
  </si>
  <si>
    <t>15020063</t>
  </si>
  <si>
    <t>发光管</t>
  </si>
  <si>
    <t>LED发光管/2.0*1.25*1.1/绿色/表面贴-ROHS</t>
  </si>
  <si>
    <t>D1,D2</t>
  </si>
  <si>
    <t>6</t>
  </si>
  <si>
    <t>15040135</t>
  </si>
  <si>
    <t>稳压管</t>
  </si>
  <si>
    <t>双向瞬态抑制二极管/14.2V/15.8V/SOT-23-</t>
  </si>
  <si>
    <t>D3</t>
  </si>
  <si>
    <t>7</t>
  </si>
  <si>
    <t>15050026</t>
  </si>
  <si>
    <t>三极管</t>
  </si>
  <si>
    <t>NPN三极管-40V/0.6A/225mW/SOT-23-</t>
  </si>
  <si>
    <t>Q1</t>
  </si>
  <si>
    <t>8</t>
  </si>
  <si>
    <t>17010147</t>
  </si>
  <si>
    <t>磁芯</t>
  </si>
  <si>
    <t>铁氧体-EMI磁珠-100Ω/100MHz-0.1Ω/DC-500mA-0805-</t>
  </si>
  <si>
    <t>L1,L2</t>
  </si>
  <si>
    <t>9</t>
  </si>
  <si>
    <t>38090062</t>
  </si>
  <si>
    <t>接口功率驱动器</t>
  </si>
  <si>
    <t>接口收发器-ADM483E-RS485-5V-250kbps-SOP8</t>
  </si>
  <si>
    <t>U1</t>
  </si>
  <si>
    <t>10</t>
  </si>
  <si>
    <t>07090601</t>
  </si>
  <si>
    <t>片状电阻器</t>
  </si>
  <si>
    <t>片状电阻器-1/10W-33Ω±1%-0603-</t>
  </si>
  <si>
    <t>R9,R10,R11,R12</t>
  </si>
  <si>
    <t>11</t>
  </si>
  <si>
    <t>07090686</t>
  </si>
  <si>
    <t>片状电阻器-1/10W-10K-±1%-0603-</t>
  </si>
  <si>
    <t>R1,R3</t>
  </si>
  <si>
    <t>12</t>
  </si>
  <si>
    <t>07090700</t>
  </si>
  <si>
    <t>片状电阻器-1/10W-1kΩ-±1%-0603-</t>
  </si>
  <si>
    <t>R4,R6,R13</t>
  </si>
  <si>
    <t>13</t>
  </si>
  <si>
    <t>07090890</t>
  </si>
  <si>
    <t>片状厚膜电阻器-1/10W-4.7kΩ-±1%-0603---</t>
  </si>
  <si>
    <t>R5,R7,R8</t>
  </si>
  <si>
    <t>14</t>
  </si>
  <si>
    <t>08070230</t>
  </si>
  <si>
    <t>片状陶瓷电容器</t>
  </si>
  <si>
    <t>片状陶瓷电容器-50V-100pF±5%-NPO-0603-0.9mm-</t>
  </si>
  <si>
    <t>C3,C4,C5</t>
  </si>
  <si>
    <t>15</t>
  </si>
  <si>
    <t>08070249</t>
  </si>
  <si>
    <t>片状陶瓷电容器-50V-1000PF±10%-X7R-0603-0.9mm-</t>
  </si>
  <si>
    <t>C6</t>
  </si>
  <si>
    <t>16</t>
  </si>
  <si>
    <t>08070460</t>
  </si>
  <si>
    <t>片状陶瓷电容器-50V-20pF±5%-NPO-0603-0.9mm-</t>
  </si>
  <si>
    <t>C1</t>
  </si>
  <si>
    <t>17</t>
  </si>
  <si>
    <t>08070668</t>
  </si>
  <si>
    <t>片状陶瓷电容器-50V-0.1uF±10%-X7R-0603-0.9mm-</t>
  </si>
  <si>
    <t>C2</t>
  </si>
  <si>
    <t>简化规格</t>
  </si>
  <si>
    <t>_SinE100AA5_JN_</t>
  </si>
  <si>
    <t>LED/2.0*1.25*1.1/ Green</t>
  </si>
  <si>
    <t>/14.2V/15.8V/SOT-23</t>
  </si>
  <si>
    <t>NPN-40V/0.6A/225mW/SOT-23</t>
  </si>
  <si>
    <t>FB0805-100R-100MHZ</t>
  </si>
  <si>
    <t>ADM483E-SOP8</t>
  </si>
  <si>
    <t>R0603-33R-1%</t>
  </si>
  <si>
    <t>R0603-10K-1%</t>
  </si>
  <si>
    <t>R0603-1K-1%</t>
  </si>
  <si>
    <t>R0603-4.7K-1%</t>
  </si>
  <si>
    <t>C0603-100pF-50V-5%-NPO</t>
  </si>
  <si>
    <t>C0603-1000pF-50V-10%-X7R</t>
  </si>
  <si>
    <t>C0603-20pF-50V-5%-NPO</t>
  </si>
  <si>
    <t>C0603-0.1uF-50V-10%-X7R</t>
  </si>
  <si>
    <r>
      <t>客户：</t>
    </r>
    <r>
      <rPr>
        <b/>
        <sz val="16"/>
        <color rgb="FF000000"/>
        <rFont val="Calibri"/>
        <charset val="134"/>
      </rPr>
      <t xml:space="preserve">A116       03029244         </t>
    </r>
    <r>
      <rPr>
        <b/>
        <sz val="16"/>
        <color rgb="FF000000"/>
        <rFont val="宋体"/>
        <charset val="134"/>
      </rPr>
      <t>订单200套</t>
    </r>
    <r>
      <rPr>
        <b/>
        <sz val="16"/>
        <color rgb="FF000000"/>
        <rFont val="Calibri"/>
        <charset val="134"/>
      </rPr>
      <t xml:space="preserve">    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3502-260714005      SMT</t>
    </r>
  </si>
  <si>
    <r>
      <t>客户：</t>
    </r>
    <r>
      <rPr>
        <b/>
        <sz val="16"/>
        <color rgb="FF000000"/>
        <rFont val="Calibri"/>
        <charset val="134"/>
      </rPr>
      <t xml:space="preserve">A116       03029244         </t>
    </r>
    <r>
      <rPr>
        <b/>
        <sz val="16"/>
        <color rgb="FF000000"/>
        <rFont val="宋体"/>
        <charset val="134"/>
      </rPr>
      <t>订单</t>
    </r>
    <r>
      <rPr>
        <b/>
        <sz val="16"/>
        <color rgb="FF000000"/>
        <rFont val="Calibri"/>
        <charset val="134"/>
      </rPr>
      <t>200</t>
    </r>
    <r>
      <rPr>
        <b/>
        <sz val="16"/>
        <color rgb="FF000000"/>
        <rFont val="宋体"/>
        <charset val="134"/>
      </rPr>
      <t>套</t>
    </r>
    <r>
      <rPr>
        <b/>
        <sz val="16"/>
        <color rgb="FF000000"/>
        <rFont val="Calibri"/>
        <charset val="134"/>
      </rPr>
      <t xml:space="preserve">       </t>
    </r>
    <r>
      <rPr>
        <b/>
        <sz val="16"/>
        <color rgb="FF000000"/>
        <rFont val="宋体"/>
        <charset val="134"/>
      </rPr>
      <t>订单号：</t>
    </r>
    <r>
      <rPr>
        <b/>
        <sz val="16"/>
        <color rgb="FF000000"/>
        <rFont val="Calibri"/>
        <charset val="134"/>
      </rPr>
      <t>3502-260714005    DIP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</si>
</sst>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Calibri"/>
      <charset val="134"/>
    </font>
    <font>
      <b/>
      <sz val="18"/>
      <color rgb="FF000000"/>
      <name val="宋体"/>
      <charset val="134"/>
    </font>
    <font>
      <b/>
      <sz val="18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D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66040</xdr:colOff>
      <xdr:row>2</xdr:row>
      <xdr:rowOff>0</xdr:rowOff>
    </xdr:from>
    <xdr:to>
      <xdr:col>6</xdr:col>
      <xdr:colOff>1195705</xdr:colOff>
      <xdr:row>3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5290" y="660400"/>
          <a:ext cx="1129665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66040</xdr:colOff>
      <xdr:row>2</xdr:row>
      <xdr:rowOff>0</xdr:rowOff>
    </xdr:from>
    <xdr:to>
      <xdr:col>6</xdr:col>
      <xdr:colOff>1195705</xdr:colOff>
      <xdr:row>3</xdr:row>
      <xdr:rowOff>69850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5290" y="660400"/>
          <a:ext cx="1129665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608965</xdr:colOff>
      <xdr:row>0</xdr:row>
      <xdr:rowOff>269875</xdr:rowOff>
    </xdr:from>
    <xdr:to>
      <xdr:col>10</xdr:col>
      <xdr:colOff>519430</xdr:colOff>
      <xdr:row>2</xdr:row>
      <xdr:rowOff>60325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9890" y="269875"/>
          <a:ext cx="1129665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161290</xdr:colOff>
      <xdr:row>1</xdr:row>
      <xdr:rowOff>269875</xdr:rowOff>
    </xdr:from>
    <xdr:to>
      <xdr:col>7</xdr:col>
      <xdr:colOff>1290955</xdr:colOff>
      <xdr:row>3</xdr:row>
      <xdr:rowOff>60325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5055" y="765175"/>
          <a:ext cx="1129665" cy="488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9"/>
  <sheetViews>
    <sheetView showGridLines="0" zoomScale="85" zoomScaleNormal="85" workbookViewId="0">
      <selection activeCell="A1" sqref="$A1:$XFD1048576"/>
    </sheetView>
  </sheetViews>
  <sheetFormatPr defaultColWidth="10.2857142857143" defaultRowHeight="15"/>
  <cols>
    <col min="1" max="1" width="5.37142857142857" style="14" customWidth="1"/>
    <col min="2" max="2" width="15.6857142857143" style="14" customWidth="1"/>
    <col min="3" max="3" width="20.4761904761905" customWidth="1"/>
    <col min="4" max="4" width="46.4857142857143" style="15" customWidth="1"/>
    <col min="5" max="5" width="6.41904761904762" style="14" customWidth="1"/>
    <col min="6" max="6" width="6.03809523809524" style="14" customWidth="1"/>
    <col min="7" max="7" width="26.7142857142857" style="14" customWidth="1"/>
    <col min="8" max="8" width="11.9047619047619" style="14" customWidth="1"/>
    <col min="9" max="9" width="17.9809523809524" customWidth="1"/>
    <col min="10" max="10" width="12.0952380952381" customWidth="1"/>
  </cols>
  <sheetData>
    <row r="1" ht="30" customHeight="1" spans="1:10">
      <c r="A1" s="16" t="s">
        <v>0</v>
      </c>
      <c r="B1" s="17"/>
      <c r="C1" s="17"/>
      <c r="D1" s="18"/>
      <c r="E1" s="17"/>
      <c r="F1" s="17"/>
      <c r="G1" s="17"/>
      <c r="H1" s="17"/>
      <c r="I1" s="17"/>
    </row>
    <row r="2" ht="22" customHeight="1" spans="1:10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3" t="s">
        <v>7</v>
      </c>
      <c r="H2" s="6" t="s">
        <v>8</v>
      </c>
      <c r="I2" s="6" t="s">
        <v>9</v>
      </c>
      <c r="J2" s="7" t="s">
        <v>10</v>
      </c>
    </row>
    <row r="3" ht="33" customHeight="1" spans="1:10">
      <c r="A3" s="8" t="s">
        <v>11</v>
      </c>
      <c r="B3" s="8" t="s">
        <v>12</v>
      </c>
      <c r="C3" s="9" t="s">
        <v>13</v>
      </c>
      <c r="D3" s="10" t="s">
        <v>14</v>
      </c>
      <c r="E3" s="8" t="s">
        <v>15</v>
      </c>
      <c r="F3" s="11">
        <v>1</v>
      </c>
      <c r="G3" s="8" t="s">
        <v>16</v>
      </c>
      <c r="H3" s="12">
        <f t="shared" ref="H3:H19" si="0">F3*800</f>
        <v>800</v>
      </c>
      <c r="I3" s="13"/>
      <c r="J3" s="13"/>
    </row>
    <row r="4" ht="33" customHeight="1" spans="1:10">
      <c r="A4" s="8" t="s">
        <v>17</v>
      </c>
      <c r="B4" s="8" t="s">
        <v>18</v>
      </c>
      <c r="C4" s="9" t="s">
        <v>19</v>
      </c>
      <c r="D4" s="10" t="s">
        <v>20</v>
      </c>
      <c r="E4" s="8" t="s">
        <v>15</v>
      </c>
      <c r="F4" s="11">
        <v>1</v>
      </c>
      <c r="G4" s="8" t="s">
        <v>21</v>
      </c>
      <c r="H4" s="12">
        <f t="shared" si="0"/>
        <v>800</v>
      </c>
      <c r="I4" s="13"/>
      <c r="J4" s="13"/>
    </row>
    <row r="5" ht="33" customHeight="1" spans="1:10">
      <c r="A5" s="8" t="s">
        <v>22</v>
      </c>
      <c r="B5" s="8" t="s">
        <v>23</v>
      </c>
      <c r="C5" s="9" t="s">
        <v>24</v>
      </c>
      <c r="D5" s="10" t="s">
        <v>25</v>
      </c>
      <c r="E5" s="8" t="s">
        <v>15</v>
      </c>
      <c r="F5" s="11">
        <v>2</v>
      </c>
      <c r="G5" s="8" t="s">
        <v>26</v>
      </c>
      <c r="H5" s="12">
        <f t="shared" si="0"/>
        <v>1600</v>
      </c>
      <c r="I5" s="13"/>
      <c r="J5" s="13"/>
    </row>
    <row r="6" ht="33" customHeight="1" spans="1:10">
      <c r="A6" s="8" t="s">
        <v>27</v>
      </c>
      <c r="B6" s="8" t="s">
        <v>28</v>
      </c>
      <c r="C6" s="9" t="s">
        <v>29</v>
      </c>
      <c r="D6" s="10" t="s">
        <v>30</v>
      </c>
      <c r="E6" s="8" t="s">
        <v>15</v>
      </c>
      <c r="F6" s="11">
        <v>2</v>
      </c>
      <c r="G6" s="8" t="s">
        <v>26</v>
      </c>
      <c r="H6" s="12">
        <f t="shared" si="0"/>
        <v>1600</v>
      </c>
      <c r="I6" s="13"/>
      <c r="J6" s="13"/>
    </row>
    <row r="7" ht="33" customHeight="1" spans="1:10">
      <c r="A7" s="8" t="s">
        <v>31</v>
      </c>
      <c r="B7" s="8" t="s">
        <v>32</v>
      </c>
      <c r="C7" s="9" t="s">
        <v>33</v>
      </c>
      <c r="D7" s="10" t="s">
        <v>34</v>
      </c>
      <c r="E7" s="8" t="s">
        <v>15</v>
      </c>
      <c r="F7" s="11">
        <v>2</v>
      </c>
      <c r="G7" s="8" t="s">
        <v>35</v>
      </c>
      <c r="H7" s="12">
        <f t="shared" si="0"/>
        <v>1600</v>
      </c>
      <c r="I7" s="13"/>
      <c r="J7" s="13"/>
    </row>
    <row r="8" ht="33" customHeight="1" spans="1:10">
      <c r="A8" s="8" t="s">
        <v>36</v>
      </c>
      <c r="B8" s="8" t="s">
        <v>37</v>
      </c>
      <c r="C8" s="9" t="s">
        <v>38</v>
      </c>
      <c r="D8" s="10" t="s">
        <v>39</v>
      </c>
      <c r="E8" s="8" t="s">
        <v>15</v>
      </c>
      <c r="F8" s="11">
        <v>1</v>
      </c>
      <c r="G8" s="8" t="s">
        <v>40</v>
      </c>
      <c r="H8" s="12">
        <f t="shared" si="0"/>
        <v>800</v>
      </c>
      <c r="I8" s="13"/>
      <c r="J8" s="13"/>
    </row>
    <row r="9" ht="33" customHeight="1" spans="1:10">
      <c r="A9" s="8" t="s">
        <v>41</v>
      </c>
      <c r="B9" s="8" t="s">
        <v>42</v>
      </c>
      <c r="C9" s="9" t="s">
        <v>43</v>
      </c>
      <c r="D9" s="10" t="s">
        <v>44</v>
      </c>
      <c r="E9" s="8" t="s">
        <v>15</v>
      </c>
      <c r="F9" s="11">
        <v>1</v>
      </c>
      <c r="G9" s="8" t="s">
        <v>45</v>
      </c>
      <c r="H9" s="12">
        <f t="shared" si="0"/>
        <v>800</v>
      </c>
      <c r="I9" s="13"/>
      <c r="J9" s="13"/>
    </row>
    <row r="10" ht="33" customHeight="1" spans="1:10">
      <c r="A10" s="8" t="s">
        <v>46</v>
      </c>
      <c r="B10" s="8" t="s">
        <v>47</v>
      </c>
      <c r="C10" s="9" t="s">
        <v>48</v>
      </c>
      <c r="D10" s="10" t="s">
        <v>49</v>
      </c>
      <c r="E10" s="8" t="s">
        <v>15</v>
      </c>
      <c r="F10" s="11">
        <v>2</v>
      </c>
      <c r="G10" s="8" t="s">
        <v>50</v>
      </c>
      <c r="H10" s="12">
        <f t="shared" si="0"/>
        <v>1600</v>
      </c>
      <c r="I10" s="13"/>
      <c r="J10" s="13"/>
    </row>
    <row r="11" ht="33" customHeight="1" spans="1:10">
      <c r="A11" s="8" t="s">
        <v>51</v>
      </c>
      <c r="B11" s="8" t="s">
        <v>52</v>
      </c>
      <c r="C11" s="9" t="s">
        <v>53</v>
      </c>
      <c r="D11" s="10" t="s">
        <v>54</v>
      </c>
      <c r="E11" s="8" t="s">
        <v>15</v>
      </c>
      <c r="F11" s="11">
        <v>1</v>
      </c>
      <c r="G11" s="8" t="s">
        <v>55</v>
      </c>
      <c r="H11" s="12">
        <f t="shared" si="0"/>
        <v>800</v>
      </c>
      <c r="I11" s="13"/>
      <c r="J11" s="13"/>
    </row>
    <row r="12" ht="33" customHeight="1" spans="1:10">
      <c r="A12" s="8" t="s">
        <v>56</v>
      </c>
      <c r="B12" s="8" t="s">
        <v>57</v>
      </c>
      <c r="C12" s="9" t="s">
        <v>58</v>
      </c>
      <c r="D12" s="10" t="s">
        <v>59</v>
      </c>
      <c r="E12" s="8" t="s">
        <v>15</v>
      </c>
      <c r="F12" s="11">
        <v>4</v>
      </c>
      <c r="G12" s="8" t="s">
        <v>60</v>
      </c>
      <c r="H12" s="12">
        <f t="shared" si="0"/>
        <v>3200</v>
      </c>
      <c r="I12" s="13"/>
      <c r="J12" s="13"/>
    </row>
    <row r="13" ht="33" customHeight="1" spans="1:10">
      <c r="A13" s="8" t="s">
        <v>61</v>
      </c>
      <c r="B13" s="8" t="s">
        <v>62</v>
      </c>
      <c r="C13" s="9" t="s">
        <v>58</v>
      </c>
      <c r="D13" s="10" t="s">
        <v>63</v>
      </c>
      <c r="E13" s="8" t="s">
        <v>15</v>
      </c>
      <c r="F13" s="11">
        <v>2</v>
      </c>
      <c r="G13" s="8" t="s">
        <v>64</v>
      </c>
      <c r="H13" s="12">
        <f t="shared" si="0"/>
        <v>1600</v>
      </c>
      <c r="I13" s="13"/>
      <c r="J13" s="13"/>
    </row>
    <row r="14" ht="33" customHeight="1" spans="1:10">
      <c r="A14" s="8" t="s">
        <v>65</v>
      </c>
      <c r="B14" s="8" t="s">
        <v>66</v>
      </c>
      <c r="C14" s="9" t="s">
        <v>58</v>
      </c>
      <c r="D14" s="10" t="s">
        <v>67</v>
      </c>
      <c r="E14" s="8" t="s">
        <v>15</v>
      </c>
      <c r="F14" s="11">
        <v>3</v>
      </c>
      <c r="G14" s="8" t="s">
        <v>68</v>
      </c>
      <c r="H14" s="12">
        <f t="shared" si="0"/>
        <v>2400</v>
      </c>
      <c r="I14" s="13"/>
      <c r="J14" s="13"/>
    </row>
    <row r="15" ht="33" customHeight="1" spans="1:10">
      <c r="A15" s="8" t="s">
        <v>69</v>
      </c>
      <c r="B15" s="8" t="s">
        <v>70</v>
      </c>
      <c r="C15" s="9" t="s">
        <v>58</v>
      </c>
      <c r="D15" s="10" t="s">
        <v>71</v>
      </c>
      <c r="E15" s="8" t="s">
        <v>15</v>
      </c>
      <c r="F15" s="11">
        <v>3</v>
      </c>
      <c r="G15" s="8" t="s">
        <v>72</v>
      </c>
      <c r="H15" s="12">
        <f t="shared" si="0"/>
        <v>2400</v>
      </c>
      <c r="I15" s="13"/>
      <c r="J15" s="13"/>
    </row>
    <row r="16" ht="33" customHeight="1" spans="1:10">
      <c r="A16" s="8" t="s">
        <v>73</v>
      </c>
      <c r="B16" s="8" t="s">
        <v>74</v>
      </c>
      <c r="C16" s="9" t="s">
        <v>75</v>
      </c>
      <c r="D16" s="10" t="s">
        <v>76</v>
      </c>
      <c r="E16" s="8" t="s">
        <v>15</v>
      </c>
      <c r="F16" s="11">
        <v>3</v>
      </c>
      <c r="G16" s="8" t="s">
        <v>77</v>
      </c>
      <c r="H16" s="12">
        <f t="shared" si="0"/>
        <v>2400</v>
      </c>
      <c r="I16" s="13"/>
      <c r="J16" s="13"/>
    </row>
    <row r="17" ht="33" customHeight="1" spans="1:10">
      <c r="A17" s="8" t="s">
        <v>78</v>
      </c>
      <c r="B17" s="8" t="s">
        <v>79</v>
      </c>
      <c r="C17" s="9" t="s">
        <v>75</v>
      </c>
      <c r="D17" s="10" t="s">
        <v>80</v>
      </c>
      <c r="E17" s="8" t="s">
        <v>15</v>
      </c>
      <c r="F17" s="11">
        <v>1</v>
      </c>
      <c r="G17" s="8" t="s">
        <v>81</v>
      </c>
      <c r="H17" s="12">
        <f t="shared" si="0"/>
        <v>800</v>
      </c>
      <c r="I17" s="13"/>
      <c r="J17" s="13"/>
    </row>
    <row r="18" ht="33" customHeight="1" spans="1:10">
      <c r="A18" s="8" t="s">
        <v>82</v>
      </c>
      <c r="B18" s="8" t="s">
        <v>83</v>
      </c>
      <c r="C18" s="9" t="s">
        <v>75</v>
      </c>
      <c r="D18" s="10" t="s">
        <v>84</v>
      </c>
      <c r="E18" s="8" t="s">
        <v>15</v>
      </c>
      <c r="F18" s="11">
        <v>1</v>
      </c>
      <c r="G18" s="8" t="s">
        <v>85</v>
      </c>
      <c r="H18" s="12">
        <f t="shared" si="0"/>
        <v>800</v>
      </c>
      <c r="I18" s="13"/>
      <c r="J18" s="13"/>
    </row>
    <row r="19" ht="33" customHeight="1" spans="1:10">
      <c r="A19" s="8" t="s">
        <v>86</v>
      </c>
      <c r="B19" s="8" t="s">
        <v>87</v>
      </c>
      <c r="C19" s="9" t="s">
        <v>75</v>
      </c>
      <c r="D19" s="10" t="s">
        <v>88</v>
      </c>
      <c r="E19" s="8" t="s">
        <v>15</v>
      </c>
      <c r="F19" s="11">
        <v>1</v>
      </c>
      <c r="G19" s="8" t="s">
        <v>89</v>
      </c>
      <c r="H19" s="12">
        <f t="shared" si="0"/>
        <v>800</v>
      </c>
      <c r="I19" s="13"/>
      <c r="J19" s="13"/>
    </row>
  </sheetData>
  <mergeCells count="1">
    <mergeCell ref="A1:I1"/>
  </mergeCells>
  <pageMargins left="0.0388888888888889" right="0.118055555555556" top="0.432638888888889" bottom="0.472222222222222" header="0.354166666666667" footer="0.314583333333333"/>
  <pageSetup paperSize="9" scale="86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F8" sqref="F8"/>
    </sheetView>
  </sheetViews>
  <sheetFormatPr defaultColWidth="10.2857142857143" defaultRowHeight="15"/>
  <cols>
    <col min="1" max="1" width="5.37142857142857" style="14" customWidth="1"/>
    <col min="2" max="2" width="15.6857142857143" style="14" customWidth="1"/>
    <col min="3" max="3" width="20.4761904761905" customWidth="1"/>
    <col min="4" max="4" width="46.4857142857143" style="15" customWidth="1"/>
    <col min="5" max="5" width="6.41904761904762" style="14" customWidth="1"/>
    <col min="6" max="6" width="6.03809523809524" style="14" customWidth="1"/>
    <col min="7" max="7" width="26.7142857142857" style="14" customWidth="1"/>
    <col min="8" max="8" width="11.9047619047619" style="14" customWidth="1"/>
    <col min="9" max="9" width="17.9809523809524" customWidth="1"/>
    <col min="10" max="10" width="12.0952380952381" customWidth="1"/>
  </cols>
  <sheetData>
    <row r="1" customFormat="1" ht="30" customHeight="1" spans="1:10">
      <c r="A1" s="16" t="s">
        <v>0</v>
      </c>
      <c r="B1" s="17"/>
      <c r="C1" s="17"/>
      <c r="D1" s="18"/>
      <c r="E1" s="17"/>
      <c r="F1" s="17"/>
      <c r="G1" s="17"/>
      <c r="H1" s="17"/>
      <c r="I1" s="17"/>
    </row>
    <row r="2" ht="22" customHeight="1" spans="1:10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3" t="s">
        <v>7</v>
      </c>
      <c r="H2" s="6" t="s">
        <v>8</v>
      </c>
      <c r="I2" s="6" t="s">
        <v>9</v>
      </c>
      <c r="J2" s="7" t="s">
        <v>10</v>
      </c>
    </row>
    <row r="3" ht="33" customHeight="1" spans="1:10">
      <c r="A3" s="8" t="s">
        <v>11</v>
      </c>
      <c r="B3" s="8" t="s">
        <v>12</v>
      </c>
      <c r="C3" s="9" t="s">
        <v>13</v>
      </c>
      <c r="D3" s="10" t="s">
        <v>14</v>
      </c>
      <c r="E3" s="8" t="s">
        <v>15</v>
      </c>
      <c r="F3" s="11">
        <v>1</v>
      </c>
      <c r="G3" s="8" t="s">
        <v>16</v>
      </c>
      <c r="H3" s="12">
        <f t="shared" ref="H3:H19" si="0">F3*800</f>
        <v>800</v>
      </c>
      <c r="I3" s="13"/>
      <c r="J3" s="13"/>
    </row>
    <row r="4" ht="33" customHeight="1" spans="1:10">
      <c r="A4" s="8" t="s">
        <v>17</v>
      </c>
      <c r="B4" s="8" t="s">
        <v>18</v>
      </c>
      <c r="C4" s="9" t="s">
        <v>19</v>
      </c>
      <c r="D4" s="10" t="s">
        <v>20</v>
      </c>
      <c r="E4" s="8" t="s">
        <v>15</v>
      </c>
      <c r="F4" s="11">
        <v>1</v>
      </c>
      <c r="G4" s="8" t="s">
        <v>21</v>
      </c>
      <c r="H4" s="12">
        <f t="shared" si="0"/>
        <v>800</v>
      </c>
      <c r="I4" s="13"/>
      <c r="J4" s="13"/>
    </row>
    <row r="5" ht="33" customHeight="1" spans="1:10">
      <c r="A5" s="8" t="s">
        <v>22</v>
      </c>
      <c r="B5" s="8" t="s">
        <v>23</v>
      </c>
      <c r="C5" s="9" t="s">
        <v>24</v>
      </c>
      <c r="D5" s="10" t="s">
        <v>25</v>
      </c>
      <c r="E5" s="8" t="s">
        <v>15</v>
      </c>
      <c r="F5" s="11">
        <v>2</v>
      </c>
      <c r="G5" s="8" t="s">
        <v>26</v>
      </c>
      <c r="H5" s="12">
        <f t="shared" si="0"/>
        <v>1600</v>
      </c>
      <c r="I5" s="13"/>
      <c r="J5" s="13"/>
    </row>
    <row r="6" ht="33" customHeight="1" spans="1:10">
      <c r="A6" s="8" t="s">
        <v>27</v>
      </c>
      <c r="B6" s="8" t="s">
        <v>28</v>
      </c>
      <c r="C6" s="9" t="s">
        <v>29</v>
      </c>
      <c r="D6" s="10" t="s">
        <v>30</v>
      </c>
      <c r="E6" s="8" t="s">
        <v>15</v>
      </c>
      <c r="F6" s="11">
        <v>2</v>
      </c>
      <c r="G6" s="8" t="s">
        <v>26</v>
      </c>
      <c r="H6" s="12">
        <f t="shared" si="0"/>
        <v>1600</v>
      </c>
      <c r="I6" s="13"/>
      <c r="J6" s="13"/>
    </row>
    <row r="7" ht="33" customHeight="1" spans="1:10">
      <c r="A7" s="8" t="s">
        <v>31</v>
      </c>
      <c r="B7" s="8" t="s">
        <v>32</v>
      </c>
      <c r="C7" s="9" t="s">
        <v>33</v>
      </c>
      <c r="D7" s="10" t="s">
        <v>34</v>
      </c>
      <c r="E7" s="8" t="s">
        <v>15</v>
      </c>
      <c r="F7" s="11">
        <v>2</v>
      </c>
      <c r="G7" s="8" t="s">
        <v>35</v>
      </c>
      <c r="H7" s="12">
        <f t="shared" si="0"/>
        <v>1600</v>
      </c>
      <c r="I7" s="13"/>
      <c r="J7" s="13"/>
    </row>
    <row r="8" ht="33" customHeight="1" spans="1:10">
      <c r="A8" s="8" t="s">
        <v>36</v>
      </c>
      <c r="B8" s="8" t="s">
        <v>37</v>
      </c>
      <c r="C8" s="9" t="s">
        <v>38</v>
      </c>
      <c r="D8" s="10" t="s">
        <v>39</v>
      </c>
      <c r="E8" s="8" t="s">
        <v>15</v>
      </c>
      <c r="F8" s="11">
        <v>1</v>
      </c>
      <c r="G8" s="8" t="s">
        <v>40</v>
      </c>
      <c r="H8" s="12">
        <f t="shared" si="0"/>
        <v>800</v>
      </c>
      <c r="I8" s="13"/>
      <c r="J8" s="13"/>
    </row>
    <row r="9" ht="33" customHeight="1" spans="1:10">
      <c r="A9" s="8" t="s">
        <v>41</v>
      </c>
      <c r="B9" s="8" t="s">
        <v>42</v>
      </c>
      <c r="C9" s="9" t="s">
        <v>43</v>
      </c>
      <c r="D9" s="10" t="s">
        <v>44</v>
      </c>
      <c r="E9" s="8" t="s">
        <v>15</v>
      </c>
      <c r="F9" s="11">
        <v>1</v>
      </c>
      <c r="G9" s="8" t="s">
        <v>45</v>
      </c>
      <c r="H9" s="12">
        <f t="shared" si="0"/>
        <v>800</v>
      </c>
      <c r="I9" s="13"/>
      <c r="J9" s="13"/>
    </row>
    <row r="10" ht="33" customHeight="1" spans="1:10">
      <c r="A10" s="8" t="s">
        <v>46</v>
      </c>
      <c r="B10" s="8" t="s">
        <v>47</v>
      </c>
      <c r="C10" s="9" t="s">
        <v>48</v>
      </c>
      <c r="D10" s="10" t="s">
        <v>49</v>
      </c>
      <c r="E10" s="8" t="s">
        <v>15</v>
      </c>
      <c r="F10" s="11">
        <v>2</v>
      </c>
      <c r="G10" s="8" t="s">
        <v>50</v>
      </c>
      <c r="H10" s="12">
        <f t="shared" si="0"/>
        <v>1600</v>
      </c>
      <c r="I10" s="13"/>
      <c r="J10" s="13"/>
    </row>
    <row r="11" ht="33" customHeight="1" spans="1:10">
      <c r="A11" s="8" t="s">
        <v>51</v>
      </c>
      <c r="B11" s="8" t="s">
        <v>52</v>
      </c>
      <c r="C11" s="9" t="s">
        <v>53</v>
      </c>
      <c r="D11" s="10" t="s">
        <v>54</v>
      </c>
      <c r="E11" s="8" t="s">
        <v>15</v>
      </c>
      <c r="F11" s="11">
        <v>1</v>
      </c>
      <c r="G11" s="8" t="s">
        <v>55</v>
      </c>
      <c r="H11" s="12">
        <f t="shared" si="0"/>
        <v>800</v>
      </c>
      <c r="I11" s="13"/>
      <c r="J11" s="13"/>
    </row>
    <row r="12" ht="33" customHeight="1" spans="1:10">
      <c r="A12" s="8" t="s">
        <v>56</v>
      </c>
      <c r="B12" s="8" t="s">
        <v>57</v>
      </c>
      <c r="C12" s="9" t="s">
        <v>58</v>
      </c>
      <c r="D12" s="10" t="s">
        <v>59</v>
      </c>
      <c r="E12" s="8" t="s">
        <v>15</v>
      </c>
      <c r="F12" s="11">
        <v>4</v>
      </c>
      <c r="G12" s="8" t="s">
        <v>60</v>
      </c>
      <c r="H12" s="12">
        <f t="shared" si="0"/>
        <v>3200</v>
      </c>
      <c r="I12" s="13"/>
      <c r="J12" s="13"/>
    </row>
    <row r="13" ht="33" customHeight="1" spans="1:10">
      <c r="A13" s="8" t="s">
        <v>61</v>
      </c>
      <c r="B13" s="8" t="s">
        <v>62</v>
      </c>
      <c r="C13" s="9" t="s">
        <v>58</v>
      </c>
      <c r="D13" s="10" t="s">
        <v>63</v>
      </c>
      <c r="E13" s="8" t="s">
        <v>15</v>
      </c>
      <c r="F13" s="11">
        <v>2</v>
      </c>
      <c r="G13" s="8" t="s">
        <v>64</v>
      </c>
      <c r="H13" s="12">
        <f t="shared" si="0"/>
        <v>1600</v>
      </c>
      <c r="I13" s="13"/>
      <c r="J13" s="13"/>
    </row>
    <row r="14" ht="33" customHeight="1" spans="1:10">
      <c r="A14" s="8" t="s">
        <v>65</v>
      </c>
      <c r="B14" s="8" t="s">
        <v>66</v>
      </c>
      <c r="C14" s="9" t="s">
        <v>58</v>
      </c>
      <c r="D14" s="10" t="s">
        <v>67</v>
      </c>
      <c r="E14" s="8" t="s">
        <v>15</v>
      </c>
      <c r="F14" s="11">
        <v>3</v>
      </c>
      <c r="G14" s="8" t="s">
        <v>68</v>
      </c>
      <c r="H14" s="12">
        <f t="shared" si="0"/>
        <v>2400</v>
      </c>
      <c r="I14" s="13"/>
      <c r="J14" s="13"/>
    </row>
    <row r="15" ht="33" customHeight="1" spans="1:10">
      <c r="A15" s="8" t="s">
        <v>69</v>
      </c>
      <c r="B15" s="8" t="s">
        <v>70</v>
      </c>
      <c r="C15" s="9" t="s">
        <v>58</v>
      </c>
      <c r="D15" s="10" t="s">
        <v>71</v>
      </c>
      <c r="E15" s="8" t="s">
        <v>15</v>
      </c>
      <c r="F15" s="11">
        <v>3</v>
      </c>
      <c r="G15" s="8" t="s">
        <v>72</v>
      </c>
      <c r="H15" s="12">
        <f t="shared" si="0"/>
        <v>2400</v>
      </c>
      <c r="I15" s="13"/>
      <c r="J15" s="13"/>
    </row>
    <row r="16" ht="33" customHeight="1" spans="1:10">
      <c r="A16" s="8" t="s">
        <v>73</v>
      </c>
      <c r="B16" s="8" t="s">
        <v>74</v>
      </c>
      <c r="C16" s="9" t="s">
        <v>75</v>
      </c>
      <c r="D16" s="10" t="s">
        <v>76</v>
      </c>
      <c r="E16" s="8" t="s">
        <v>15</v>
      </c>
      <c r="F16" s="11">
        <v>3</v>
      </c>
      <c r="G16" s="8" t="s">
        <v>77</v>
      </c>
      <c r="H16" s="12">
        <f t="shared" si="0"/>
        <v>2400</v>
      </c>
      <c r="I16" s="13"/>
      <c r="J16" s="13"/>
    </row>
    <row r="17" ht="33" customHeight="1" spans="1:10">
      <c r="A17" s="8" t="s">
        <v>78</v>
      </c>
      <c r="B17" s="8" t="s">
        <v>79</v>
      </c>
      <c r="C17" s="9" t="s">
        <v>75</v>
      </c>
      <c r="D17" s="10" t="s">
        <v>80</v>
      </c>
      <c r="E17" s="8" t="s">
        <v>15</v>
      </c>
      <c r="F17" s="11">
        <v>1</v>
      </c>
      <c r="G17" s="8" t="s">
        <v>81</v>
      </c>
      <c r="H17" s="12">
        <f t="shared" si="0"/>
        <v>800</v>
      </c>
      <c r="I17" s="13"/>
      <c r="J17" s="13"/>
    </row>
    <row r="18" ht="33" customHeight="1" spans="1:10">
      <c r="A18" s="8" t="s">
        <v>82</v>
      </c>
      <c r="B18" s="8" t="s">
        <v>83</v>
      </c>
      <c r="C18" s="9" t="s">
        <v>75</v>
      </c>
      <c r="D18" s="10" t="s">
        <v>84</v>
      </c>
      <c r="E18" s="8" t="s">
        <v>15</v>
      </c>
      <c r="F18" s="11">
        <v>1</v>
      </c>
      <c r="G18" s="8" t="s">
        <v>85</v>
      </c>
      <c r="H18" s="12">
        <f t="shared" si="0"/>
        <v>800</v>
      </c>
      <c r="I18" s="13"/>
      <c r="J18" s="13"/>
    </row>
    <row r="19" ht="33" customHeight="1" spans="1:10">
      <c r="A19" s="8" t="s">
        <v>86</v>
      </c>
      <c r="B19" s="8" t="s">
        <v>87</v>
      </c>
      <c r="C19" s="9" t="s">
        <v>75</v>
      </c>
      <c r="D19" s="10" t="s">
        <v>88</v>
      </c>
      <c r="E19" s="8" t="s">
        <v>15</v>
      </c>
      <c r="F19" s="11">
        <v>1</v>
      </c>
      <c r="G19" s="8" t="s">
        <v>89</v>
      </c>
      <c r="H19" s="12">
        <f t="shared" si="0"/>
        <v>800</v>
      </c>
      <c r="I19" s="13"/>
      <c r="J19" s="13"/>
    </row>
  </sheetData>
  <mergeCells count="1">
    <mergeCell ref="A1:I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E4" sqref="E4"/>
    </sheetView>
  </sheetViews>
  <sheetFormatPr defaultColWidth="9.14285714285714" defaultRowHeight="15"/>
  <cols>
    <col min="4" max="4" width="26.8571428571429" customWidth="1"/>
    <col min="5" max="5" width="29.2857142857143" customWidth="1"/>
  </cols>
  <sheetData>
    <row r="1" ht="22" customHeight="1" spans="1:11">
      <c r="A1" s="3" t="s">
        <v>1</v>
      </c>
      <c r="B1" s="3" t="s">
        <v>2</v>
      </c>
      <c r="C1" s="3" t="s">
        <v>3</v>
      </c>
      <c r="D1" s="4" t="s">
        <v>4</v>
      </c>
      <c r="E1" s="3" t="s">
        <v>90</v>
      </c>
      <c r="F1" s="3" t="s">
        <v>5</v>
      </c>
      <c r="G1" s="5" t="s">
        <v>6</v>
      </c>
      <c r="H1" s="3" t="s">
        <v>7</v>
      </c>
      <c r="I1" s="6" t="s">
        <v>8</v>
      </c>
      <c r="J1" s="6" t="s">
        <v>9</v>
      </c>
      <c r="K1" s="7" t="s">
        <v>10</v>
      </c>
    </row>
    <row r="2" ht="33" customHeight="1" spans="1:11">
      <c r="A2" s="8" t="s">
        <v>11</v>
      </c>
      <c r="B2" s="8" t="s">
        <v>12</v>
      </c>
      <c r="C2" s="9" t="s">
        <v>13</v>
      </c>
      <c r="D2" s="10" t="s">
        <v>14</v>
      </c>
      <c r="E2" s="8" t="s">
        <v>91</v>
      </c>
      <c r="F2" s="8" t="s">
        <v>15</v>
      </c>
      <c r="G2" s="11">
        <v>1</v>
      </c>
      <c r="H2" s="8" t="s">
        <v>16</v>
      </c>
      <c r="I2" s="12">
        <f t="shared" ref="I2:I15" si="0">G2*800</f>
        <v>800</v>
      </c>
      <c r="J2" s="13"/>
      <c r="K2" s="13"/>
    </row>
    <row r="3" ht="33" customHeight="1" spans="1:11">
      <c r="A3" s="8" t="s">
        <v>31</v>
      </c>
      <c r="B3" s="8" t="s">
        <v>32</v>
      </c>
      <c r="C3" s="9" t="s">
        <v>33</v>
      </c>
      <c r="D3" s="10" t="s">
        <v>34</v>
      </c>
      <c r="E3" s="8" t="s">
        <v>92</v>
      </c>
      <c r="F3" s="8" t="s">
        <v>15</v>
      </c>
      <c r="G3" s="11">
        <v>2</v>
      </c>
      <c r="H3" s="8" t="s">
        <v>35</v>
      </c>
      <c r="I3" s="12">
        <f t="shared" si="0"/>
        <v>1600</v>
      </c>
      <c r="J3" s="13"/>
      <c r="K3" s="13"/>
    </row>
    <row r="4" ht="33" customHeight="1" spans="1:11">
      <c r="A4" s="8" t="s">
        <v>36</v>
      </c>
      <c r="B4" s="8" t="s">
        <v>37</v>
      </c>
      <c r="C4" s="9" t="s">
        <v>38</v>
      </c>
      <c r="D4" s="10" t="s">
        <v>39</v>
      </c>
      <c r="E4" s="8" t="s">
        <v>93</v>
      </c>
      <c r="F4" s="8" t="s">
        <v>15</v>
      </c>
      <c r="G4" s="11">
        <v>1</v>
      </c>
      <c r="H4" s="8" t="s">
        <v>40</v>
      </c>
      <c r="I4" s="12">
        <f t="shared" si="0"/>
        <v>800</v>
      </c>
      <c r="J4" s="13"/>
      <c r="K4" s="13"/>
    </row>
    <row r="5" ht="33" customHeight="1" spans="1:11">
      <c r="A5" s="8" t="s">
        <v>41</v>
      </c>
      <c r="B5" s="8" t="s">
        <v>42</v>
      </c>
      <c r="C5" s="9" t="s">
        <v>43</v>
      </c>
      <c r="D5" s="10" t="s">
        <v>44</v>
      </c>
      <c r="E5" s="8" t="s">
        <v>94</v>
      </c>
      <c r="F5" s="8" t="s">
        <v>15</v>
      </c>
      <c r="G5" s="11">
        <v>1</v>
      </c>
      <c r="H5" s="8" t="s">
        <v>45</v>
      </c>
      <c r="I5" s="12">
        <f t="shared" si="0"/>
        <v>800</v>
      </c>
      <c r="J5" s="13"/>
      <c r="K5" s="13"/>
    </row>
    <row r="6" ht="33" customHeight="1" spans="1:11">
      <c r="A6" s="8" t="s">
        <v>46</v>
      </c>
      <c r="B6" s="8" t="s">
        <v>47</v>
      </c>
      <c r="C6" s="9" t="s">
        <v>48</v>
      </c>
      <c r="D6" s="10" t="s">
        <v>49</v>
      </c>
      <c r="E6" s="8" t="s">
        <v>95</v>
      </c>
      <c r="F6" s="8" t="s">
        <v>15</v>
      </c>
      <c r="G6" s="11">
        <v>2</v>
      </c>
      <c r="H6" s="8" t="s">
        <v>50</v>
      </c>
      <c r="I6" s="12">
        <f t="shared" si="0"/>
        <v>1600</v>
      </c>
      <c r="J6" s="13"/>
      <c r="K6" s="13"/>
    </row>
    <row r="7" ht="33" customHeight="1" spans="1:11">
      <c r="A7" s="8" t="s">
        <v>51</v>
      </c>
      <c r="B7" s="8" t="s">
        <v>52</v>
      </c>
      <c r="C7" s="9" t="s">
        <v>53</v>
      </c>
      <c r="D7" s="10" t="s">
        <v>54</v>
      </c>
      <c r="E7" s="8" t="s">
        <v>96</v>
      </c>
      <c r="F7" s="8" t="s">
        <v>15</v>
      </c>
      <c r="G7" s="11">
        <v>1</v>
      </c>
      <c r="H7" s="8" t="s">
        <v>55</v>
      </c>
      <c r="I7" s="12">
        <f t="shared" si="0"/>
        <v>800</v>
      </c>
      <c r="J7" s="13"/>
      <c r="K7" s="13"/>
    </row>
    <row r="8" ht="33" customHeight="1" spans="1:11">
      <c r="A8" s="8" t="s">
        <v>56</v>
      </c>
      <c r="B8" s="8" t="s">
        <v>57</v>
      </c>
      <c r="C8" s="9" t="s">
        <v>58</v>
      </c>
      <c r="D8" s="10" t="s">
        <v>59</v>
      </c>
      <c r="E8" s="8" t="s">
        <v>97</v>
      </c>
      <c r="F8" s="8" t="s">
        <v>15</v>
      </c>
      <c r="G8" s="11">
        <v>4</v>
      </c>
      <c r="H8" s="8" t="s">
        <v>60</v>
      </c>
      <c r="I8" s="12">
        <f t="shared" si="0"/>
        <v>3200</v>
      </c>
      <c r="J8" s="13"/>
      <c r="K8" s="13"/>
    </row>
    <row r="9" ht="33" customHeight="1" spans="1:11">
      <c r="A9" s="8" t="s">
        <v>61</v>
      </c>
      <c r="B9" s="8" t="s">
        <v>62</v>
      </c>
      <c r="C9" s="9" t="s">
        <v>58</v>
      </c>
      <c r="D9" s="10" t="s">
        <v>63</v>
      </c>
      <c r="E9" s="8" t="s">
        <v>98</v>
      </c>
      <c r="F9" s="8" t="s">
        <v>15</v>
      </c>
      <c r="G9" s="11">
        <v>2</v>
      </c>
      <c r="H9" s="8" t="s">
        <v>64</v>
      </c>
      <c r="I9" s="12">
        <f t="shared" si="0"/>
        <v>1600</v>
      </c>
      <c r="J9" s="13"/>
      <c r="K9" s="13"/>
    </row>
    <row r="10" ht="33" customHeight="1" spans="1:11">
      <c r="A10" s="8" t="s">
        <v>65</v>
      </c>
      <c r="B10" s="8" t="s">
        <v>66</v>
      </c>
      <c r="C10" s="9" t="s">
        <v>58</v>
      </c>
      <c r="D10" s="10" t="s">
        <v>67</v>
      </c>
      <c r="E10" s="8" t="s">
        <v>99</v>
      </c>
      <c r="F10" s="8" t="s">
        <v>15</v>
      </c>
      <c r="G10" s="11">
        <v>3</v>
      </c>
      <c r="H10" s="8" t="s">
        <v>68</v>
      </c>
      <c r="I10" s="12">
        <f t="shared" si="0"/>
        <v>2400</v>
      </c>
      <c r="J10" s="13"/>
      <c r="K10" s="13"/>
    </row>
    <row r="11" ht="33" customHeight="1" spans="1:11">
      <c r="A11" s="8" t="s">
        <v>69</v>
      </c>
      <c r="B11" s="8" t="s">
        <v>70</v>
      </c>
      <c r="C11" s="9" t="s">
        <v>58</v>
      </c>
      <c r="D11" s="10" t="s">
        <v>71</v>
      </c>
      <c r="E11" s="8" t="s">
        <v>100</v>
      </c>
      <c r="F11" s="8" t="s">
        <v>15</v>
      </c>
      <c r="G11" s="11">
        <v>3</v>
      </c>
      <c r="H11" s="8" t="s">
        <v>72</v>
      </c>
      <c r="I11" s="12">
        <f t="shared" si="0"/>
        <v>2400</v>
      </c>
      <c r="J11" s="13"/>
      <c r="K11" s="13"/>
    </row>
    <row r="12" ht="33" customHeight="1" spans="1:11">
      <c r="A12" s="8" t="s">
        <v>73</v>
      </c>
      <c r="B12" s="8" t="s">
        <v>74</v>
      </c>
      <c r="C12" s="9" t="s">
        <v>75</v>
      </c>
      <c r="D12" s="10" t="s">
        <v>76</v>
      </c>
      <c r="E12" s="8" t="s">
        <v>101</v>
      </c>
      <c r="F12" s="8" t="s">
        <v>15</v>
      </c>
      <c r="G12" s="11">
        <v>3</v>
      </c>
      <c r="H12" s="8" t="s">
        <v>77</v>
      </c>
      <c r="I12" s="12">
        <f t="shared" si="0"/>
        <v>2400</v>
      </c>
      <c r="J12" s="13"/>
      <c r="K12" s="13"/>
    </row>
    <row r="13" ht="33" customHeight="1" spans="1:11">
      <c r="A13" s="8" t="s">
        <v>78</v>
      </c>
      <c r="B13" s="8" t="s">
        <v>79</v>
      </c>
      <c r="C13" s="9" t="s">
        <v>75</v>
      </c>
      <c r="D13" s="10" t="s">
        <v>80</v>
      </c>
      <c r="E13" s="8" t="s">
        <v>102</v>
      </c>
      <c r="F13" s="8" t="s">
        <v>15</v>
      </c>
      <c r="G13" s="11">
        <v>1</v>
      </c>
      <c r="H13" s="8" t="s">
        <v>81</v>
      </c>
      <c r="I13" s="12">
        <f t="shared" si="0"/>
        <v>800</v>
      </c>
      <c r="J13" s="13"/>
      <c r="K13" s="13"/>
    </row>
    <row r="14" ht="33" customHeight="1" spans="1:11">
      <c r="A14" s="8" t="s">
        <v>82</v>
      </c>
      <c r="B14" s="8" t="s">
        <v>83</v>
      </c>
      <c r="C14" s="9" t="s">
        <v>75</v>
      </c>
      <c r="D14" s="10" t="s">
        <v>84</v>
      </c>
      <c r="E14" s="8" t="s">
        <v>103</v>
      </c>
      <c r="F14" s="8" t="s">
        <v>15</v>
      </c>
      <c r="G14" s="11">
        <v>1</v>
      </c>
      <c r="H14" s="8" t="s">
        <v>85</v>
      </c>
      <c r="I14" s="12">
        <f t="shared" si="0"/>
        <v>800</v>
      </c>
      <c r="J14" s="13"/>
      <c r="K14" s="13"/>
    </row>
    <row r="15" ht="33" customHeight="1" spans="1:11">
      <c r="A15" s="8" t="s">
        <v>86</v>
      </c>
      <c r="B15" s="8" t="s">
        <v>87</v>
      </c>
      <c r="C15" s="9" t="s">
        <v>75</v>
      </c>
      <c r="D15" s="10" t="s">
        <v>88</v>
      </c>
      <c r="E15" s="8" t="s">
        <v>104</v>
      </c>
      <c r="F15" s="8" t="s">
        <v>15</v>
      </c>
      <c r="G15" s="11">
        <v>1</v>
      </c>
      <c r="H15" s="8" t="s">
        <v>89</v>
      </c>
      <c r="I15" s="12">
        <f t="shared" si="0"/>
        <v>800</v>
      </c>
      <c r="J15" s="13"/>
      <c r="K15" s="13"/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workbookViewId="0">
      <selection activeCell="E9" sqref="E9"/>
    </sheetView>
  </sheetViews>
  <sheetFormatPr defaultColWidth="9.14285714285714" defaultRowHeight="15" outlineLevelRow="3"/>
  <cols>
    <col min="4" max="4" width="26.7142857142857" customWidth="1"/>
  </cols>
  <sheetData>
    <row r="1" ht="22" customHeight="1" spans="1:10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  <c r="G1" s="3" t="s">
        <v>7</v>
      </c>
      <c r="H1" s="6" t="s">
        <v>8</v>
      </c>
      <c r="I1" s="6" t="s">
        <v>9</v>
      </c>
      <c r="J1" s="7" t="s">
        <v>10</v>
      </c>
    </row>
    <row r="2" ht="33" customHeight="1" spans="1:10">
      <c r="A2" s="8" t="s">
        <v>17</v>
      </c>
      <c r="B2" s="8" t="s">
        <v>18</v>
      </c>
      <c r="C2" s="9" t="s">
        <v>19</v>
      </c>
      <c r="D2" s="10" t="s">
        <v>20</v>
      </c>
      <c r="E2" s="8" t="s">
        <v>15</v>
      </c>
      <c r="F2" s="11">
        <v>1</v>
      </c>
      <c r="G2" s="8" t="s">
        <v>21</v>
      </c>
      <c r="H2" s="12">
        <f>F2*800</f>
        <v>800</v>
      </c>
      <c r="I2" s="13"/>
      <c r="J2" s="13"/>
    </row>
    <row r="3" ht="33" customHeight="1" spans="1:10">
      <c r="A3" s="8" t="s">
        <v>22</v>
      </c>
      <c r="B3" s="8" t="s">
        <v>23</v>
      </c>
      <c r="C3" s="9" t="s">
        <v>24</v>
      </c>
      <c r="D3" s="10" t="s">
        <v>25</v>
      </c>
      <c r="E3" s="8" t="s">
        <v>15</v>
      </c>
      <c r="F3" s="11">
        <v>2</v>
      </c>
      <c r="G3" s="8" t="s">
        <v>26</v>
      </c>
      <c r="H3" s="12">
        <f>F3*800</f>
        <v>1600</v>
      </c>
      <c r="I3" s="13"/>
      <c r="J3" s="13"/>
    </row>
    <row r="4" ht="33" customHeight="1" spans="1:10">
      <c r="A4" s="8" t="s">
        <v>27</v>
      </c>
      <c r="B4" s="8" t="s">
        <v>28</v>
      </c>
      <c r="C4" s="9" t="s">
        <v>29</v>
      </c>
      <c r="D4" s="10" t="s">
        <v>30</v>
      </c>
      <c r="E4" s="8" t="s">
        <v>15</v>
      </c>
      <c r="F4" s="11">
        <v>2</v>
      </c>
      <c r="G4" s="8" t="s">
        <v>26</v>
      </c>
      <c r="H4" s="12">
        <f>F4*800</f>
        <v>1600</v>
      </c>
      <c r="I4" s="13"/>
      <c r="J4" s="1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E5" sqref="E5"/>
    </sheetView>
  </sheetViews>
  <sheetFormatPr defaultColWidth="9.14285714285714" defaultRowHeight="15"/>
  <cols>
    <col min="1" max="1" width="5" customWidth="1"/>
    <col min="2" max="2" width="10.7904761904762" customWidth="1"/>
    <col min="3" max="3" width="15.1428571428571" customWidth="1"/>
    <col min="4" max="4" width="39.8190476190476" customWidth="1"/>
    <col min="5" max="5" width="28.1904761904762" customWidth="1"/>
    <col min="6" max="7" width="5" customWidth="1"/>
    <col min="8" max="8" width="21.7142857142857" customWidth="1"/>
    <col min="9" max="9" width="6.95238095238095" customWidth="1"/>
    <col min="10" max="10" width="13.8571428571429" customWidth="1"/>
  </cols>
  <sheetData>
    <row r="1" ht="39" customHeight="1" spans="1:1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2" customHeight="1" spans="1:11">
      <c r="A2" s="3" t="s">
        <v>1</v>
      </c>
      <c r="B2" s="3" t="s">
        <v>2</v>
      </c>
      <c r="C2" s="3" t="s">
        <v>3</v>
      </c>
      <c r="D2" s="4" t="s">
        <v>4</v>
      </c>
      <c r="E2" s="3" t="s">
        <v>90</v>
      </c>
      <c r="F2" s="3" t="s">
        <v>5</v>
      </c>
      <c r="G2" s="5" t="s">
        <v>6</v>
      </c>
      <c r="H2" s="3" t="s">
        <v>7</v>
      </c>
      <c r="I2" s="6" t="s">
        <v>8</v>
      </c>
      <c r="J2" s="6" t="s">
        <v>9</v>
      </c>
      <c r="K2" s="7" t="s">
        <v>10</v>
      </c>
    </row>
    <row r="3" ht="33" customHeight="1" spans="1:11">
      <c r="A3" s="8" t="s">
        <v>11</v>
      </c>
      <c r="B3" s="8" t="s">
        <v>12</v>
      </c>
      <c r="C3" s="9" t="s">
        <v>13</v>
      </c>
      <c r="D3" s="10" t="s">
        <v>14</v>
      </c>
      <c r="E3" s="8" t="s">
        <v>91</v>
      </c>
      <c r="F3" s="8" t="s">
        <v>15</v>
      </c>
      <c r="G3" s="11">
        <v>1</v>
      </c>
      <c r="H3" s="8" t="s">
        <v>16</v>
      </c>
      <c r="I3" s="12">
        <f>G3*200</f>
        <v>200</v>
      </c>
      <c r="J3" s="13"/>
      <c r="K3" s="13"/>
    </row>
    <row r="4" ht="33" customHeight="1" spans="1:11">
      <c r="A4" s="8" t="s">
        <v>17</v>
      </c>
      <c r="B4" s="8" t="s">
        <v>32</v>
      </c>
      <c r="C4" s="9" t="s">
        <v>33</v>
      </c>
      <c r="D4" s="10" t="s">
        <v>34</v>
      </c>
      <c r="E4" s="8" t="s">
        <v>92</v>
      </c>
      <c r="F4" s="8" t="s">
        <v>15</v>
      </c>
      <c r="G4" s="11">
        <v>2</v>
      </c>
      <c r="H4" s="8" t="s">
        <v>35</v>
      </c>
      <c r="I4" s="12">
        <f t="shared" ref="I4:I16" si="0">G4*200</f>
        <v>400</v>
      </c>
      <c r="J4" s="13"/>
      <c r="K4" s="13"/>
    </row>
    <row r="5" ht="33" customHeight="1" spans="1:11">
      <c r="A5" s="8" t="s">
        <v>22</v>
      </c>
      <c r="B5" s="8" t="s">
        <v>37</v>
      </c>
      <c r="C5" s="9" t="s">
        <v>38</v>
      </c>
      <c r="D5" s="10" t="s">
        <v>39</v>
      </c>
      <c r="E5" s="8" t="s">
        <v>93</v>
      </c>
      <c r="F5" s="8" t="s">
        <v>15</v>
      </c>
      <c r="G5" s="11">
        <v>1</v>
      </c>
      <c r="H5" s="8" t="s">
        <v>40</v>
      </c>
      <c r="I5" s="12">
        <f t="shared" si="0"/>
        <v>200</v>
      </c>
      <c r="J5" s="13"/>
      <c r="K5" s="13"/>
    </row>
    <row r="6" ht="33" customHeight="1" spans="1:11">
      <c r="A6" s="8" t="s">
        <v>27</v>
      </c>
      <c r="B6" s="8" t="s">
        <v>42</v>
      </c>
      <c r="C6" s="9" t="s">
        <v>43</v>
      </c>
      <c r="D6" s="10" t="s">
        <v>44</v>
      </c>
      <c r="E6" s="8" t="s">
        <v>94</v>
      </c>
      <c r="F6" s="8" t="s">
        <v>15</v>
      </c>
      <c r="G6" s="11">
        <v>1</v>
      </c>
      <c r="H6" s="8" t="s">
        <v>45</v>
      </c>
      <c r="I6" s="12">
        <f t="shared" si="0"/>
        <v>200</v>
      </c>
      <c r="J6" s="13"/>
      <c r="K6" s="13"/>
    </row>
    <row r="7" ht="33" customHeight="1" spans="1:11">
      <c r="A7" s="8" t="s">
        <v>31</v>
      </c>
      <c r="B7" s="8" t="s">
        <v>47</v>
      </c>
      <c r="C7" s="9" t="s">
        <v>48</v>
      </c>
      <c r="D7" s="10" t="s">
        <v>49</v>
      </c>
      <c r="E7" s="8" t="s">
        <v>95</v>
      </c>
      <c r="F7" s="8" t="s">
        <v>15</v>
      </c>
      <c r="G7" s="11">
        <v>2</v>
      </c>
      <c r="H7" s="8" t="s">
        <v>50</v>
      </c>
      <c r="I7" s="12">
        <f t="shared" si="0"/>
        <v>400</v>
      </c>
      <c r="J7" s="13"/>
      <c r="K7" s="13"/>
    </row>
    <row r="8" ht="33" customHeight="1" spans="1:11">
      <c r="A8" s="8" t="s">
        <v>36</v>
      </c>
      <c r="B8" s="8" t="s">
        <v>52</v>
      </c>
      <c r="C8" s="9" t="s">
        <v>53</v>
      </c>
      <c r="D8" s="10" t="s">
        <v>54</v>
      </c>
      <c r="E8" s="8" t="s">
        <v>96</v>
      </c>
      <c r="F8" s="8" t="s">
        <v>15</v>
      </c>
      <c r="G8" s="11">
        <v>1</v>
      </c>
      <c r="H8" s="8" t="s">
        <v>55</v>
      </c>
      <c r="I8" s="12">
        <f t="shared" si="0"/>
        <v>200</v>
      </c>
      <c r="J8" s="13"/>
      <c r="K8" s="13"/>
    </row>
    <row r="9" ht="33" customHeight="1" spans="1:11">
      <c r="A9" s="8" t="s">
        <v>41</v>
      </c>
      <c r="B9" s="8" t="s">
        <v>57</v>
      </c>
      <c r="C9" s="9" t="s">
        <v>58</v>
      </c>
      <c r="D9" s="10" t="s">
        <v>59</v>
      </c>
      <c r="E9" s="8" t="s">
        <v>97</v>
      </c>
      <c r="F9" s="8" t="s">
        <v>15</v>
      </c>
      <c r="G9" s="11">
        <v>4</v>
      </c>
      <c r="H9" s="8" t="s">
        <v>60</v>
      </c>
      <c r="I9" s="12">
        <f t="shared" si="0"/>
        <v>800</v>
      </c>
      <c r="J9" s="13"/>
      <c r="K9" s="13"/>
    </row>
    <row r="10" ht="33" customHeight="1" spans="1:11">
      <c r="A10" s="8" t="s">
        <v>46</v>
      </c>
      <c r="B10" s="8" t="s">
        <v>62</v>
      </c>
      <c r="C10" s="9" t="s">
        <v>58</v>
      </c>
      <c r="D10" s="10" t="s">
        <v>63</v>
      </c>
      <c r="E10" s="8" t="s">
        <v>98</v>
      </c>
      <c r="F10" s="8" t="s">
        <v>15</v>
      </c>
      <c r="G10" s="11">
        <v>2</v>
      </c>
      <c r="H10" s="8" t="s">
        <v>64</v>
      </c>
      <c r="I10" s="12">
        <f t="shared" si="0"/>
        <v>400</v>
      </c>
      <c r="J10" s="13"/>
      <c r="K10" s="13"/>
    </row>
    <row r="11" ht="33" customHeight="1" spans="1:11">
      <c r="A11" s="8" t="s">
        <v>51</v>
      </c>
      <c r="B11" s="8" t="s">
        <v>66</v>
      </c>
      <c r="C11" s="9" t="s">
        <v>58</v>
      </c>
      <c r="D11" s="10" t="s">
        <v>67</v>
      </c>
      <c r="E11" s="8" t="s">
        <v>99</v>
      </c>
      <c r="F11" s="8" t="s">
        <v>15</v>
      </c>
      <c r="G11" s="11">
        <v>3</v>
      </c>
      <c r="H11" s="8" t="s">
        <v>68</v>
      </c>
      <c r="I11" s="12">
        <f t="shared" si="0"/>
        <v>600</v>
      </c>
      <c r="J11" s="13"/>
      <c r="K11" s="13"/>
    </row>
    <row r="12" ht="33" customHeight="1" spans="1:11">
      <c r="A12" s="8" t="s">
        <v>56</v>
      </c>
      <c r="B12" s="8" t="s">
        <v>70</v>
      </c>
      <c r="C12" s="9" t="s">
        <v>58</v>
      </c>
      <c r="D12" s="10" t="s">
        <v>71</v>
      </c>
      <c r="E12" s="8" t="s">
        <v>100</v>
      </c>
      <c r="F12" s="8" t="s">
        <v>15</v>
      </c>
      <c r="G12" s="11">
        <v>3</v>
      </c>
      <c r="H12" s="8" t="s">
        <v>72</v>
      </c>
      <c r="I12" s="12">
        <f t="shared" si="0"/>
        <v>600</v>
      </c>
      <c r="J12" s="13"/>
      <c r="K12" s="13"/>
    </row>
    <row r="13" ht="33" customHeight="1" spans="1:11">
      <c r="A13" s="8" t="s">
        <v>61</v>
      </c>
      <c r="B13" s="8" t="s">
        <v>74</v>
      </c>
      <c r="C13" s="9" t="s">
        <v>75</v>
      </c>
      <c r="D13" s="10" t="s">
        <v>76</v>
      </c>
      <c r="E13" s="8" t="s">
        <v>101</v>
      </c>
      <c r="F13" s="8" t="s">
        <v>15</v>
      </c>
      <c r="G13" s="11">
        <v>3</v>
      </c>
      <c r="H13" s="8" t="s">
        <v>77</v>
      </c>
      <c r="I13" s="12">
        <f t="shared" si="0"/>
        <v>600</v>
      </c>
      <c r="J13" s="13"/>
      <c r="K13" s="13"/>
    </row>
    <row r="14" ht="33" customHeight="1" spans="1:11">
      <c r="A14" s="8" t="s">
        <v>65</v>
      </c>
      <c r="B14" s="8" t="s">
        <v>79</v>
      </c>
      <c r="C14" s="9" t="s">
        <v>75</v>
      </c>
      <c r="D14" s="10" t="s">
        <v>80</v>
      </c>
      <c r="E14" s="8" t="s">
        <v>102</v>
      </c>
      <c r="F14" s="8" t="s">
        <v>15</v>
      </c>
      <c r="G14" s="11">
        <v>1</v>
      </c>
      <c r="H14" s="8" t="s">
        <v>81</v>
      </c>
      <c r="I14" s="12">
        <f t="shared" si="0"/>
        <v>200</v>
      </c>
      <c r="J14" s="13"/>
      <c r="K14" s="13"/>
    </row>
    <row r="15" ht="33" customHeight="1" spans="1:11">
      <c r="A15" s="8" t="s">
        <v>69</v>
      </c>
      <c r="B15" s="8" t="s">
        <v>83</v>
      </c>
      <c r="C15" s="9" t="s">
        <v>75</v>
      </c>
      <c r="D15" s="10" t="s">
        <v>84</v>
      </c>
      <c r="E15" s="8" t="s">
        <v>103</v>
      </c>
      <c r="F15" s="8" t="s">
        <v>15</v>
      </c>
      <c r="G15" s="11">
        <v>1</v>
      </c>
      <c r="H15" s="8" t="s">
        <v>85</v>
      </c>
      <c r="I15" s="12">
        <f t="shared" si="0"/>
        <v>200</v>
      </c>
      <c r="J15" s="13"/>
      <c r="K15" s="13"/>
    </row>
    <row r="16" ht="33" customHeight="1" spans="1:11">
      <c r="A16" s="8" t="s">
        <v>73</v>
      </c>
      <c r="B16" s="8" t="s">
        <v>87</v>
      </c>
      <c r="C16" s="9" t="s">
        <v>75</v>
      </c>
      <c r="D16" s="10" t="s">
        <v>88</v>
      </c>
      <c r="E16" s="8" t="s">
        <v>104</v>
      </c>
      <c r="F16" s="8" t="s">
        <v>15</v>
      </c>
      <c r="G16" s="11">
        <v>1</v>
      </c>
      <c r="H16" s="8" t="s">
        <v>89</v>
      </c>
      <c r="I16" s="12">
        <f t="shared" si="0"/>
        <v>200</v>
      </c>
      <c r="J16" s="13"/>
      <c r="K16" s="13"/>
    </row>
  </sheetData>
  <mergeCells count="1">
    <mergeCell ref="A1:K1"/>
  </mergeCells>
  <pageMargins left="0.118055555555556" right="0.156944444444444" top="0.275" bottom="0.118055555555556" header="0.236111111111111" footer="0.0784722222222222"/>
  <pageSetup paperSize="9" scale="90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H3" sqref="H3"/>
    </sheetView>
  </sheetViews>
  <sheetFormatPr defaultColWidth="9.14285714285714" defaultRowHeight="15" outlineLevelRow="4"/>
  <cols>
    <col min="1" max="1" width="5" customWidth="1"/>
    <col min="2" max="2" width="13" customWidth="1"/>
    <col min="3" max="3" width="15.1428571428571" customWidth="1"/>
    <col min="4" max="4" width="42.1428571428571" customWidth="1"/>
    <col min="5" max="6" width="5" customWidth="1"/>
    <col min="7" max="7" width="18.7142857142857" customWidth="1"/>
    <col min="8" max="8" width="7.14285714285714" customWidth="1"/>
    <col min="9" max="9" width="17" customWidth="1"/>
  </cols>
  <sheetData>
    <row r="1" ht="30" customHeight="1" spans="1:10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</row>
    <row r="2" ht="29" customHeight="1" spans="1:10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3" t="s">
        <v>7</v>
      </c>
      <c r="H2" s="6" t="s">
        <v>8</v>
      </c>
      <c r="I2" s="6" t="s">
        <v>9</v>
      </c>
      <c r="J2" s="7" t="s">
        <v>10</v>
      </c>
    </row>
    <row r="3" ht="59" customHeight="1" spans="1:10">
      <c r="A3" s="8" t="s">
        <v>17</v>
      </c>
      <c r="B3" s="8" t="s">
        <v>18</v>
      </c>
      <c r="C3" s="9" t="s">
        <v>19</v>
      </c>
      <c r="D3" s="10" t="s">
        <v>20</v>
      </c>
      <c r="E3" s="8" t="s">
        <v>15</v>
      </c>
      <c r="F3" s="11">
        <v>1</v>
      </c>
      <c r="G3" s="8" t="s">
        <v>21</v>
      </c>
      <c r="H3" s="12">
        <f>F3*200</f>
        <v>200</v>
      </c>
      <c r="I3" s="13"/>
      <c r="J3" s="13"/>
    </row>
    <row r="4" ht="59" customHeight="1" spans="1:10">
      <c r="A4" s="8" t="s">
        <v>22</v>
      </c>
      <c r="B4" s="8" t="s">
        <v>23</v>
      </c>
      <c r="C4" s="9" t="s">
        <v>24</v>
      </c>
      <c r="D4" s="10" t="s">
        <v>25</v>
      </c>
      <c r="E4" s="8" t="s">
        <v>15</v>
      </c>
      <c r="F4" s="11">
        <v>2</v>
      </c>
      <c r="G4" s="8" t="s">
        <v>26</v>
      </c>
      <c r="H4" s="12">
        <f>F4*200</f>
        <v>400</v>
      </c>
      <c r="I4" s="13"/>
      <c r="J4" s="13"/>
    </row>
    <row r="5" ht="59" customHeight="1" spans="1:10">
      <c r="A5" s="8" t="s">
        <v>27</v>
      </c>
      <c r="B5" s="8" t="s">
        <v>28</v>
      </c>
      <c r="C5" s="9" t="s">
        <v>29</v>
      </c>
      <c r="D5" s="10" t="s">
        <v>30</v>
      </c>
      <c r="E5" s="8" t="s">
        <v>15</v>
      </c>
      <c r="F5" s="11">
        <v>2</v>
      </c>
      <c r="G5" s="8" t="s">
        <v>26</v>
      </c>
      <c r="H5" s="12">
        <f>F5*200</f>
        <v>400</v>
      </c>
      <c r="I5" s="13"/>
      <c r="J5" s="13"/>
    </row>
  </sheetData>
  <mergeCells count="1">
    <mergeCell ref="A1:J1"/>
  </mergeCells>
  <pageMargins left="0.432638888888889" right="0.196527777777778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</vt:lpstr>
      <vt:lpstr>复制</vt:lpstr>
      <vt:lpstr>SMT</vt:lpstr>
      <vt:lpstr>DIP</vt:lpstr>
      <vt:lpstr>smt备料用</vt:lpstr>
      <vt:lpstr>DIP备料用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所念皆遗憾</cp:lastModifiedBy>
  <dcterms:created xsi:type="dcterms:W3CDTF">2024-04-20T10:47:00Z</dcterms:created>
  <dcterms:modified xsi:type="dcterms:W3CDTF">2026-07-15T10:55:10Z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B410AA22CB8148BB9EDBE38D4ED8A5F1_13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