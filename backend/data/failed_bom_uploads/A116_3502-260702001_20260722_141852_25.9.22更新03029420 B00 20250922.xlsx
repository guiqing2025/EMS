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" sheetId="1" r:id="rId1"/>
    <sheet name="生产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<sst xmlns="http://schemas.openxmlformats.org/spreadsheetml/2006/main" count="472" uniqueCount="110">
  <si>
    <t>工厂</t>
  </si>
  <si>
    <t>主件品号</t>
  </si>
  <si>
    <t>主件品名</t>
  </si>
  <si>
    <t>主件规格</t>
  </si>
  <si>
    <t>主件特征码</t>
  </si>
  <si>
    <t>主件特征码规格</t>
  </si>
  <si>
    <t>主件品号描述</t>
  </si>
  <si>
    <t>标准批量</t>
  </si>
  <si>
    <t>元件类别</t>
  </si>
  <si>
    <t>元件品号</t>
  </si>
  <si>
    <t>元件品名</t>
  </si>
  <si>
    <t>元件规格</t>
  </si>
  <si>
    <t>元件特征码</t>
  </si>
  <si>
    <t>元件特征码规格</t>
  </si>
  <si>
    <t>元件品号描述</t>
  </si>
  <si>
    <t>快捷码</t>
  </si>
  <si>
    <t>品号备注</t>
  </si>
  <si>
    <t>单位</t>
  </si>
  <si>
    <t>品号类型</t>
  </si>
  <si>
    <t>单位组成用量</t>
  </si>
  <si>
    <t>组成用量</t>
  </si>
  <si>
    <t>底数</t>
  </si>
  <si>
    <t>分量损耗</t>
  </si>
  <si>
    <t>固定损耗</t>
  </si>
  <si>
    <t>变动损耗</t>
  </si>
  <si>
    <t>来源类别</t>
  </si>
  <si>
    <t>BOM单身工艺编号</t>
  </si>
  <si>
    <t>BOM单身工艺名称</t>
  </si>
  <si>
    <t>BOM单身工艺说明</t>
  </si>
  <si>
    <t>投料间距</t>
  </si>
  <si>
    <t>来源编号</t>
  </si>
  <si>
    <t>生效日期</t>
  </si>
  <si>
    <t>失效日期</t>
  </si>
  <si>
    <t>取替代方式</t>
  </si>
  <si>
    <t>供料方式</t>
  </si>
  <si>
    <t>成本计算</t>
  </si>
  <si>
    <t>取替代顺序</t>
  </si>
  <si>
    <t>超领率</t>
  </si>
  <si>
    <t>缺领率</t>
  </si>
  <si>
    <t>可否混料</t>
  </si>
  <si>
    <t>插件位置</t>
  </si>
  <si>
    <t>品牌</t>
  </si>
  <si>
    <t>认可文号</t>
  </si>
  <si>
    <t>认可型号</t>
  </si>
  <si>
    <t>主要供应商编号</t>
  </si>
  <si>
    <t>主要供应商名称</t>
  </si>
  <si>
    <t>备注</t>
  </si>
  <si>
    <t>主件工序</t>
  </si>
  <si>
    <t>元件工序</t>
  </si>
  <si>
    <t>工艺编号</t>
  </si>
  <si>
    <t>工艺信息</t>
  </si>
  <si>
    <t>工艺说明</t>
  </si>
  <si>
    <t>性质</t>
  </si>
  <si>
    <t>工作中心编号</t>
  </si>
  <si>
    <t>工作中心</t>
  </si>
  <si>
    <t>供应商编号</t>
  </si>
  <si>
    <t>供应商名称</t>
  </si>
  <si>
    <t>生产部门</t>
  </si>
  <si>
    <t>品号属性项1</t>
  </si>
  <si>
    <t>品号属性项2</t>
  </si>
  <si>
    <t>品号属性项3</t>
  </si>
  <si>
    <t>品号属性项4</t>
  </si>
  <si>
    <t>1</t>
  </si>
  <si>
    <t>03029420</t>
  </si>
  <si>
    <t>制成板</t>
  </si>
  <si>
    <t>制成板-EPCS215-AM-HXA1-215kW储能模块侧灯板-RoHS</t>
  </si>
  <si>
    <t xml:space="preserve"> </t>
  </si>
  <si>
    <t>固定元件</t>
  </si>
  <si>
    <t>03019420</t>
  </si>
  <si>
    <t>印制板</t>
  </si>
  <si>
    <t>印制板-EPCS215-AM-HXA1-215kW储能模块-蓝牙及指示灯板-RoHS</t>
  </si>
  <si>
    <t>PCS</t>
  </si>
  <si>
    <t>采购件</t>
  </si>
  <si>
    <t>否</t>
  </si>
  <si>
    <t>厂内供料</t>
  </si>
  <si>
    <t>是</t>
  </si>
  <si>
    <t>PCB</t>
  </si>
  <si>
    <t>15029006</t>
  </si>
  <si>
    <t>发光管</t>
  </si>
  <si>
    <t>发光管-蓝色-7000mcd@IF20mA-φ10*13.65mm--35～80℃-</t>
  </si>
  <si>
    <t>D5</t>
  </si>
  <si>
    <t>15029007</t>
  </si>
  <si>
    <t>发光管-绿色-28000mcd@IF20mA-φ10*13.65mm--35～80℃</t>
  </si>
  <si>
    <t>D1,D2,D3</t>
  </si>
  <si>
    <t>15029008</t>
  </si>
  <si>
    <t>发光管-红色-9500mcd@IF20mA-φ10*13.65mm--35～80℃-</t>
  </si>
  <si>
    <t>D4</t>
  </si>
  <si>
    <t>14109020</t>
  </si>
  <si>
    <t>普通接插件插座</t>
  </si>
  <si>
    <t>普通接插件插座-14Pin-250V-3A-双排-直针-2.0mm-3.2mm-带卡扣-焊接型-电镀3U</t>
  </si>
  <si>
    <t>J1,J2</t>
  </si>
  <si>
    <t>07010689</t>
  </si>
  <si>
    <t>金膜电阻器</t>
  </si>
  <si>
    <t>金膜电阻器-2W-330ohm±5%</t>
  </si>
  <si>
    <t>R14,R15,R16,R17,R18</t>
  </si>
  <si>
    <t>29040876</t>
  </si>
  <si>
    <t>标签</t>
  </si>
  <si>
    <t>产品标签-制成板条码标签-42*6mm-底纸90g进口格拉辛底/面纸80g进口纯白反光铜版纸-ROHS</t>
  </si>
  <si>
    <t>套</t>
  </si>
  <si>
    <t>不发料</t>
  </si>
  <si>
    <r>
      <rPr>
        <b/>
        <sz val="16"/>
        <color rgb="FFFF0000"/>
        <rFont val="宋体"/>
        <charset val="134"/>
      </rPr>
      <t>25/9/22更新BOM</t>
    </r>
    <r>
      <rPr>
        <b/>
        <sz val="16"/>
        <color rgb="FF000000"/>
        <rFont val="宋体"/>
        <charset val="134"/>
      </rPr>
      <t xml:space="preserve">  客户：</t>
    </r>
    <r>
      <rPr>
        <b/>
        <sz val="16"/>
        <color rgb="FF000000"/>
        <rFont val="Calibri"/>
        <charset val="134"/>
      </rPr>
      <t xml:space="preserve">A116     03029420    </t>
    </r>
    <r>
      <rPr>
        <b/>
        <sz val="16"/>
        <color rgb="FF000000"/>
        <rFont val="宋体"/>
        <charset val="134"/>
      </rPr>
      <t>订单300套</t>
    </r>
    <r>
      <rPr>
        <b/>
        <sz val="16"/>
        <color rgb="FF000000"/>
        <rFont val="Calibri"/>
        <charset val="134"/>
      </rPr>
      <t xml:space="preserve">     </t>
    </r>
    <r>
      <rPr>
        <b/>
        <sz val="16"/>
        <color rgb="FF000000"/>
        <rFont val="宋体"/>
        <charset val="134"/>
      </rPr>
      <t>返单</t>
    </r>
    <r>
      <rPr>
        <b/>
        <sz val="16"/>
        <color rgb="FF000000"/>
        <rFont val="Calibri"/>
        <charset val="134"/>
      </rPr>
      <t xml:space="preserve">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3502-260702001   DIP</t>
    </r>
  </si>
  <si>
    <t>用量</t>
  </si>
  <si>
    <t>需求</t>
  </si>
  <si>
    <t>退料数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</si>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</sst>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FF0000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D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5" fillId="0" borderId="0" xfId="0" applyFont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14" fontId="2" fillId="3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742950</xdr:colOff>
      <xdr:row>2</xdr:row>
      <xdr:rowOff>31750</xdr:rowOff>
    </xdr:from>
    <xdr:to>
      <xdr:col>6</xdr:col>
      <xdr:colOff>1565910</xdr:colOff>
      <xdr:row>3</xdr:row>
      <xdr:rowOff>530860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3325" y="730250"/>
          <a:ext cx="822960" cy="1045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8"/>
  <sheetViews>
    <sheetView showGridLines="0" workbookViewId="0">
      <selection activeCell="D10" sqref="D10"/>
    </sheetView>
  </sheetViews>
  <sheetFormatPr defaultColWidth="10.2857142857143" defaultRowHeight="15" outlineLevelRow="7"/>
  <cols>
    <col min="1" max="2" width="14.2857142857143" customWidth="1"/>
    <col min="3" max="3" width="7.71428571428571" customWidth="1"/>
    <col min="4" max="4" width="41.1428571428571" customWidth="1"/>
    <col min="5" max="5" width="14.2857142857143" customWidth="1"/>
    <col min="6" max="6" width="12.8571428571429" customWidth="1"/>
    <col min="7" max="7" width="11.1428571428571" customWidth="1"/>
    <col min="8" max="13" width="14.2857142857143" customWidth="1"/>
    <col min="14" max="14" width="15.4285714285714" customWidth="1"/>
    <col min="15" max="15" width="22.1428571428571" customWidth="1"/>
    <col min="16" max="26" width="14.2857142857143" customWidth="1"/>
    <col min="27" max="29" width="13.7142857142857" customWidth="1"/>
    <col min="30" max="35" width="14.2857142857143" customWidth="1"/>
    <col min="36" max="36" width="12.8571428571429" customWidth="1"/>
    <col min="37" max="44" width="14.2857142857143" customWidth="1"/>
    <col min="45" max="46" width="12.8571428571429" customWidth="1"/>
    <col min="47" max="47" width="14.2857142857143" customWidth="1"/>
    <col min="48" max="50" width="7.71428571428571" customWidth="1"/>
    <col min="51" max="51" width="14.2857142857143" customWidth="1"/>
    <col min="52" max="52" width="7.71428571428571" customWidth="1"/>
    <col min="53" max="53" width="4.28571428571429" customWidth="1"/>
    <col min="54" max="54" width="11.1428571428571" customWidth="1"/>
    <col min="55" max="55" width="7.71428571428571" customWidth="1"/>
    <col min="56" max="57" width="9.42857142857143" customWidth="1"/>
    <col min="58" max="58" width="7.71428571428571" customWidth="1"/>
    <col min="59" max="62" width="10.2857142857143" customWidth="1"/>
  </cols>
  <sheetData>
    <row r="1" ht="13.5" customHeight="1" spans="1:62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5" t="s">
        <v>25</v>
      </c>
      <c r="AA1" s="16" t="s">
        <v>26</v>
      </c>
      <c r="AB1" s="16" t="s">
        <v>27</v>
      </c>
      <c r="AC1" s="16" t="s">
        <v>28</v>
      </c>
      <c r="AD1" s="17" t="s">
        <v>29</v>
      </c>
      <c r="AE1" s="15" t="s">
        <v>30</v>
      </c>
      <c r="AF1" s="17" t="s">
        <v>31</v>
      </c>
      <c r="AG1" s="17" t="s">
        <v>32</v>
      </c>
      <c r="AH1" s="15" t="s">
        <v>33</v>
      </c>
      <c r="AI1" s="15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6" t="s">
        <v>44</v>
      </c>
      <c r="AT1" s="16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</row>
    <row r="2" ht="14.25" customHeight="1" spans="1:62">
      <c r="A2" s="18" t="s">
        <v>62</v>
      </c>
      <c r="B2" s="18" t="s">
        <v>63</v>
      </c>
      <c r="C2" s="19" t="s">
        <v>64</v>
      </c>
      <c r="D2" s="19" t="s">
        <v>65</v>
      </c>
      <c r="E2" s="18" t="s">
        <v>66</v>
      </c>
      <c r="F2" s="19" t="s">
        <v>66</v>
      </c>
      <c r="G2" s="19" t="s">
        <v>66</v>
      </c>
      <c r="H2" s="20">
        <v>1</v>
      </c>
      <c r="I2" s="18" t="s">
        <v>67</v>
      </c>
      <c r="J2" s="18" t="s">
        <v>68</v>
      </c>
      <c r="K2" s="18" t="s">
        <v>69</v>
      </c>
      <c r="L2" s="18" t="s">
        <v>70</v>
      </c>
      <c r="M2" s="18" t="s">
        <v>66</v>
      </c>
      <c r="N2" s="18" t="s">
        <v>66</v>
      </c>
      <c r="O2" s="18" t="s">
        <v>66</v>
      </c>
      <c r="P2" s="18" t="s">
        <v>66</v>
      </c>
      <c r="Q2" s="18" t="s">
        <v>66</v>
      </c>
      <c r="R2" s="18" t="s">
        <v>71</v>
      </c>
      <c r="S2" s="18" t="s">
        <v>72</v>
      </c>
      <c r="T2" s="21">
        <v>1</v>
      </c>
      <c r="U2" s="21">
        <v>1</v>
      </c>
      <c r="V2" s="21">
        <v>1</v>
      </c>
      <c r="W2" s="20" t="s">
        <v>73</v>
      </c>
      <c r="X2" s="21">
        <v>0</v>
      </c>
      <c r="Y2" s="21">
        <v>0</v>
      </c>
      <c r="Z2" s="18" t="s">
        <v>67</v>
      </c>
      <c r="AA2" s="19" t="s">
        <v>66</v>
      </c>
      <c r="AB2" s="19" t="s">
        <v>66</v>
      </c>
      <c r="AC2" s="19" t="s">
        <v>66</v>
      </c>
      <c r="AD2" s="21">
        <v>0</v>
      </c>
      <c r="AE2" s="18" t="s">
        <v>66</v>
      </c>
      <c r="AF2" s="22"/>
      <c r="AG2" s="22"/>
      <c r="AH2" s="18" t="s">
        <v>66</v>
      </c>
      <c r="AI2" s="18" t="s">
        <v>74</v>
      </c>
      <c r="AJ2" s="20" t="s">
        <v>75</v>
      </c>
      <c r="AK2" s="20" t="s">
        <v>66</v>
      </c>
      <c r="AL2" s="21">
        <v>0</v>
      </c>
      <c r="AM2" s="21">
        <v>0</v>
      </c>
      <c r="AN2" s="20" t="s">
        <v>66</v>
      </c>
      <c r="AO2" s="18" t="s">
        <v>76</v>
      </c>
      <c r="AP2" s="18" t="s">
        <v>66</v>
      </c>
      <c r="AQ2" s="18" t="s">
        <v>66</v>
      </c>
      <c r="AR2" s="18" t="s">
        <v>66</v>
      </c>
      <c r="AS2" s="19" t="s">
        <v>66</v>
      </c>
      <c r="AT2" s="19" t="s">
        <v>66</v>
      </c>
      <c r="AU2" s="18" t="s">
        <v>66</v>
      </c>
      <c r="AV2" s="19" t="s">
        <v>66</v>
      </c>
      <c r="AW2" s="19" t="s">
        <v>66</v>
      </c>
      <c r="AX2" s="19" t="s">
        <v>66</v>
      </c>
      <c r="AY2" s="18" t="s">
        <v>66</v>
      </c>
      <c r="AZ2" s="19" t="s">
        <v>66</v>
      </c>
      <c r="BA2" s="19" t="s">
        <v>66</v>
      </c>
      <c r="BB2" s="19" t="s">
        <v>66</v>
      </c>
      <c r="BC2" s="19" t="s">
        <v>66</v>
      </c>
      <c r="BD2" s="19" t="s">
        <v>66</v>
      </c>
      <c r="BE2" s="19" t="s">
        <v>66</v>
      </c>
      <c r="BF2" s="19" t="s">
        <v>66</v>
      </c>
      <c r="BG2" s="19" t="s">
        <v>66</v>
      </c>
      <c r="BH2" s="19" t="s">
        <v>66</v>
      </c>
      <c r="BI2" s="19" t="s">
        <v>66</v>
      </c>
      <c r="BJ2" s="19" t="s">
        <v>66</v>
      </c>
    </row>
    <row r="3" ht="14.25" customHeight="1" spans="1:62">
      <c r="A3" s="18" t="s">
        <v>62</v>
      </c>
      <c r="B3" s="18" t="s">
        <v>63</v>
      </c>
      <c r="C3" s="19" t="s">
        <v>64</v>
      </c>
      <c r="D3" s="19" t="s">
        <v>65</v>
      </c>
      <c r="E3" s="18" t="s">
        <v>66</v>
      </c>
      <c r="F3" s="19" t="s">
        <v>66</v>
      </c>
      <c r="G3" s="19" t="s">
        <v>66</v>
      </c>
      <c r="H3" s="20">
        <v>1</v>
      </c>
      <c r="I3" s="18" t="s">
        <v>67</v>
      </c>
      <c r="J3" s="18" t="s">
        <v>77</v>
      </c>
      <c r="K3" s="18" t="s">
        <v>78</v>
      </c>
      <c r="L3" s="18" t="s">
        <v>79</v>
      </c>
      <c r="M3" s="18" t="s">
        <v>66</v>
      </c>
      <c r="N3" s="18" t="s">
        <v>66</v>
      </c>
      <c r="O3" s="18" t="s">
        <v>66</v>
      </c>
      <c r="P3" s="18" t="s">
        <v>66</v>
      </c>
      <c r="Q3" s="18" t="s">
        <v>66</v>
      </c>
      <c r="R3" s="18" t="s">
        <v>71</v>
      </c>
      <c r="S3" s="18" t="s">
        <v>72</v>
      </c>
      <c r="T3" s="21">
        <v>1</v>
      </c>
      <c r="U3" s="21">
        <v>1</v>
      </c>
      <c r="V3" s="21">
        <v>1</v>
      </c>
      <c r="W3" s="20" t="s">
        <v>73</v>
      </c>
      <c r="X3" s="21">
        <v>0</v>
      </c>
      <c r="Y3" s="21">
        <v>0</v>
      </c>
      <c r="Z3" s="18" t="s">
        <v>67</v>
      </c>
      <c r="AA3" s="19" t="s">
        <v>66</v>
      </c>
      <c r="AB3" s="19" t="s">
        <v>66</v>
      </c>
      <c r="AC3" s="19" t="s">
        <v>66</v>
      </c>
      <c r="AD3" s="21">
        <v>0</v>
      </c>
      <c r="AE3" s="18" t="s">
        <v>66</v>
      </c>
      <c r="AF3" s="22">
        <v>45476</v>
      </c>
      <c r="AG3" s="22"/>
      <c r="AH3" s="18" t="s">
        <v>66</v>
      </c>
      <c r="AI3" s="18" t="s">
        <v>74</v>
      </c>
      <c r="AJ3" s="20" t="s">
        <v>75</v>
      </c>
      <c r="AK3" s="20" t="s">
        <v>66</v>
      </c>
      <c r="AL3" s="21">
        <v>0</v>
      </c>
      <c r="AM3" s="21">
        <v>0</v>
      </c>
      <c r="AN3" s="20" t="s">
        <v>66</v>
      </c>
      <c r="AO3" s="18" t="s">
        <v>80</v>
      </c>
      <c r="AP3" s="18" t="s">
        <v>66</v>
      </c>
      <c r="AQ3" s="18" t="s">
        <v>66</v>
      </c>
      <c r="AR3" s="18" t="s">
        <v>66</v>
      </c>
      <c r="AS3" s="19" t="s">
        <v>66</v>
      </c>
      <c r="AT3" s="19" t="s">
        <v>66</v>
      </c>
      <c r="AU3" s="18" t="s">
        <v>66</v>
      </c>
      <c r="AV3" s="19" t="s">
        <v>66</v>
      </c>
      <c r="AW3" s="19" t="s">
        <v>66</v>
      </c>
      <c r="AX3" s="19" t="s">
        <v>66</v>
      </c>
      <c r="AY3" s="18" t="s">
        <v>66</v>
      </c>
      <c r="AZ3" s="19" t="s">
        <v>66</v>
      </c>
      <c r="BA3" s="19" t="s">
        <v>66</v>
      </c>
      <c r="BB3" s="19" t="s">
        <v>66</v>
      </c>
      <c r="BC3" s="19" t="s">
        <v>66</v>
      </c>
      <c r="BD3" s="19" t="s">
        <v>66</v>
      </c>
      <c r="BE3" s="19" t="s">
        <v>66</v>
      </c>
      <c r="BF3" s="19" t="s">
        <v>66</v>
      </c>
      <c r="BG3" s="19" t="s">
        <v>66</v>
      </c>
      <c r="BH3" s="19" t="s">
        <v>66</v>
      </c>
      <c r="BI3" s="19" t="s">
        <v>66</v>
      </c>
      <c r="BJ3" s="19" t="s">
        <v>66</v>
      </c>
    </row>
    <row r="4" ht="14.25" customHeight="1" spans="1:62">
      <c r="A4" s="18" t="s">
        <v>62</v>
      </c>
      <c r="B4" s="18" t="s">
        <v>63</v>
      </c>
      <c r="C4" s="19" t="s">
        <v>64</v>
      </c>
      <c r="D4" s="19" t="s">
        <v>65</v>
      </c>
      <c r="E4" s="18" t="s">
        <v>66</v>
      </c>
      <c r="F4" s="19" t="s">
        <v>66</v>
      </c>
      <c r="G4" s="19" t="s">
        <v>66</v>
      </c>
      <c r="H4" s="20">
        <v>1</v>
      </c>
      <c r="I4" s="18" t="s">
        <v>67</v>
      </c>
      <c r="J4" s="18" t="s">
        <v>81</v>
      </c>
      <c r="K4" s="18" t="s">
        <v>78</v>
      </c>
      <c r="L4" s="18" t="s">
        <v>82</v>
      </c>
      <c r="M4" s="18" t="s">
        <v>66</v>
      </c>
      <c r="N4" s="18" t="s">
        <v>66</v>
      </c>
      <c r="O4" s="18" t="s">
        <v>66</v>
      </c>
      <c r="P4" s="18" t="s">
        <v>66</v>
      </c>
      <c r="Q4" s="18" t="s">
        <v>66</v>
      </c>
      <c r="R4" s="18" t="s">
        <v>71</v>
      </c>
      <c r="S4" s="18" t="s">
        <v>72</v>
      </c>
      <c r="T4" s="21">
        <v>3</v>
      </c>
      <c r="U4" s="21">
        <v>3</v>
      </c>
      <c r="V4" s="21">
        <v>1</v>
      </c>
      <c r="W4" s="20" t="s">
        <v>73</v>
      </c>
      <c r="X4" s="21">
        <v>0</v>
      </c>
      <c r="Y4" s="21">
        <v>0</v>
      </c>
      <c r="Z4" s="18" t="s">
        <v>67</v>
      </c>
      <c r="AA4" s="19" t="s">
        <v>66</v>
      </c>
      <c r="AB4" s="19" t="s">
        <v>66</v>
      </c>
      <c r="AC4" s="19" t="s">
        <v>66</v>
      </c>
      <c r="AD4" s="21">
        <v>0</v>
      </c>
      <c r="AE4" s="18" t="s">
        <v>66</v>
      </c>
      <c r="AF4" s="22">
        <v>45476</v>
      </c>
      <c r="AG4" s="22"/>
      <c r="AH4" s="18" t="s">
        <v>66</v>
      </c>
      <c r="AI4" s="18" t="s">
        <v>74</v>
      </c>
      <c r="AJ4" s="20" t="s">
        <v>75</v>
      </c>
      <c r="AK4" s="20" t="s">
        <v>66</v>
      </c>
      <c r="AL4" s="21">
        <v>0</v>
      </c>
      <c r="AM4" s="21">
        <v>0</v>
      </c>
      <c r="AN4" s="20" t="s">
        <v>66</v>
      </c>
      <c r="AO4" s="18" t="s">
        <v>83</v>
      </c>
      <c r="AP4" s="18" t="s">
        <v>66</v>
      </c>
      <c r="AQ4" s="18" t="s">
        <v>66</v>
      </c>
      <c r="AR4" s="18" t="s">
        <v>66</v>
      </c>
      <c r="AS4" s="19" t="s">
        <v>66</v>
      </c>
      <c r="AT4" s="19" t="s">
        <v>66</v>
      </c>
      <c r="AU4" s="18" t="s">
        <v>66</v>
      </c>
      <c r="AV4" s="19" t="s">
        <v>66</v>
      </c>
      <c r="AW4" s="19" t="s">
        <v>66</v>
      </c>
      <c r="AX4" s="19" t="s">
        <v>66</v>
      </c>
      <c r="AY4" s="18" t="s">
        <v>66</v>
      </c>
      <c r="AZ4" s="19" t="s">
        <v>66</v>
      </c>
      <c r="BA4" s="19" t="s">
        <v>66</v>
      </c>
      <c r="BB4" s="19" t="s">
        <v>66</v>
      </c>
      <c r="BC4" s="19" t="s">
        <v>66</v>
      </c>
      <c r="BD4" s="19" t="s">
        <v>66</v>
      </c>
      <c r="BE4" s="19" t="s">
        <v>66</v>
      </c>
      <c r="BF4" s="19" t="s">
        <v>66</v>
      </c>
      <c r="BG4" s="19" t="s">
        <v>66</v>
      </c>
      <c r="BH4" s="19" t="s">
        <v>66</v>
      </c>
      <c r="BI4" s="19" t="s">
        <v>66</v>
      </c>
      <c r="BJ4" s="19" t="s">
        <v>66</v>
      </c>
    </row>
    <row r="5" ht="14.25" customHeight="1" spans="1:62">
      <c r="A5" s="18" t="s">
        <v>62</v>
      </c>
      <c r="B5" s="18" t="s">
        <v>63</v>
      </c>
      <c r="C5" s="19" t="s">
        <v>64</v>
      </c>
      <c r="D5" s="19" t="s">
        <v>65</v>
      </c>
      <c r="E5" s="18" t="s">
        <v>66</v>
      </c>
      <c r="F5" s="19" t="s">
        <v>66</v>
      </c>
      <c r="G5" s="19" t="s">
        <v>66</v>
      </c>
      <c r="H5" s="20">
        <v>1</v>
      </c>
      <c r="I5" s="18" t="s">
        <v>67</v>
      </c>
      <c r="J5" s="18" t="s">
        <v>84</v>
      </c>
      <c r="K5" s="18" t="s">
        <v>78</v>
      </c>
      <c r="L5" s="18" t="s">
        <v>85</v>
      </c>
      <c r="M5" s="18" t="s">
        <v>66</v>
      </c>
      <c r="N5" s="18" t="s">
        <v>66</v>
      </c>
      <c r="O5" s="18" t="s">
        <v>66</v>
      </c>
      <c r="P5" s="18" t="s">
        <v>66</v>
      </c>
      <c r="Q5" s="18" t="s">
        <v>66</v>
      </c>
      <c r="R5" s="18" t="s">
        <v>71</v>
      </c>
      <c r="S5" s="18" t="s">
        <v>72</v>
      </c>
      <c r="T5" s="21">
        <v>1</v>
      </c>
      <c r="U5" s="21">
        <v>1</v>
      </c>
      <c r="V5" s="21">
        <v>1</v>
      </c>
      <c r="W5" s="20" t="s">
        <v>73</v>
      </c>
      <c r="X5" s="21">
        <v>0</v>
      </c>
      <c r="Y5" s="21">
        <v>0</v>
      </c>
      <c r="Z5" s="18" t="s">
        <v>67</v>
      </c>
      <c r="AA5" s="19" t="s">
        <v>66</v>
      </c>
      <c r="AB5" s="19" t="s">
        <v>66</v>
      </c>
      <c r="AC5" s="19" t="s">
        <v>66</v>
      </c>
      <c r="AD5" s="21">
        <v>0</v>
      </c>
      <c r="AE5" s="18" t="s">
        <v>66</v>
      </c>
      <c r="AF5" s="22">
        <v>45476</v>
      </c>
      <c r="AG5" s="22"/>
      <c r="AH5" s="18" t="s">
        <v>66</v>
      </c>
      <c r="AI5" s="18" t="s">
        <v>74</v>
      </c>
      <c r="AJ5" s="20" t="s">
        <v>75</v>
      </c>
      <c r="AK5" s="20" t="s">
        <v>66</v>
      </c>
      <c r="AL5" s="21">
        <v>0</v>
      </c>
      <c r="AM5" s="21">
        <v>0</v>
      </c>
      <c r="AN5" s="20" t="s">
        <v>66</v>
      </c>
      <c r="AO5" s="18" t="s">
        <v>86</v>
      </c>
      <c r="AP5" s="18" t="s">
        <v>66</v>
      </c>
      <c r="AQ5" s="18" t="s">
        <v>66</v>
      </c>
      <c r="AR5" s="18" t="s">
        <v>66</v>
      </c>
      <c r="AS5" s="19" t="s">
        <v>66</v>
      </c>
      <c r="AT5" s="19" t="s">
        <v>66</v>
      </c>
      <c r="AU5" s="18" t="s">
        <v>66</v>
      </c>
      <c r="AV5" s="19" t="s">
        <v>66</v>
      </c>
      <c r="AW5" s="19" t="s">
        <v>66</v>
      </c>
      <c r="AX5" s="19" t="s">
        <v>66</v>
      </c>
      <c r="AY5" s="18" t="s">
        <v>66</v>
      </c>
      <c r="AZ5" s="19" t="s">
        <v>66</v>
      </c>
      <c r="BA5" s="19" t="s">
        <v>66</v>
      </c>
      <c r="BB5" s="19" t="s">
        <v>66</v>
      </c>
      <c r="BC5" s="19" t="s">
        <v>66</v>
      </c>
      <c r="BD5" s="19" t="s">
        <v>66</v>
      </c>
      <c r="BE5" s="19" t="s">
        <v>66</v>
      </c>
      <c r="BF5" s="19" t="s">
        <v>66</v>
      </c>
      <c r="BG5" s="19" t="s">
        <v>66</v>
      </c>
      <c r="BH5" s="19" t="s">
        <v>66</v>
      </c>
      <c r="BI5" s="19" t="s">
        <v>66</v>
      </c>
      <c r="BJ5" s="19" t="s">
        <v>66</v>
      </c>
    </row>
    <row r="6" ht="14.25" customHeight="1" spans="1:62">
      <c r="A6" s="18" t="s">
        <v>62</v>
      </c>
      <c r="B6" s="18" t="s">
        <v>63</v>
      </c>
      <c r="C6" s="19" t="s">
        <v>64</v>
      </c>
      <c r="D6" s="19" t="s">
        <v>65</v>
      </c>
      <c r="E6" s="18" t="s">
        <v>66</v>
      </c>
      <c r="F6" s="19" t="s">
        <v>66</v>
      </c>
      <c r="G6" s="19" t="s">
        <v>66</v>
      </c>
      <c r="H6" s="20">
        <v>1</v>
      </c>
      <c r="I6" s="18" t="s">
        <v>67</v>
      </c>
      <c r="J6" s="18" t="s">
        <v>87</v>
      </c>
      <c r="K6" s="18" t="s">
        <v>88</v>
      </c>
      <c r="L6" s="18" t="s">
        <v>89</v>
      </c>
      <c r="M6" s="18" t="s">
        <v>66</v>
      </c>
      <c r="N6" s="18" t="s">
        <v>66</v>
      </c>
      <c r="O6" s="18" t="s">
        <v>66</v>
      </c>
      <c r="P6" s="18" t="s">
        <v>66</v>
      </c>
      <c r="Q6" s="18" t="s">
        <v>66</v>
      </c>
      <c r="R6" s="18" t="s">
        <v>71</v>
      </c>
      <c r="S6" s="18" t="s">
        <v>72</v>
      </c>
      <c r="T6" s="21">
        <v>2</v>
      </c>
      <c r="U6" s="21">
        <v>2</v>
      </c>
      <c r="V6" s="21">
        <v>1</v>
      </c>
      <c r="W6" s="20" t="s">
        <v>73</v>
      </c>
      <c r="X6" s="21">
        <v>0</v>
      </c>
      <c r="Y6" s="21">
        <v>0</v>
      </c>
      <c r="Z6" s="18" t="s">
        <v>67</v>
      </c>
      <c r="AA6" s="19" t="s">
        <v>66</v>
      </c>
      <c r="AB6" s="19" t="s">
        <v>66</v>
      </c>
      <c r="AC6" s="19" t="s">
        <v>66</v>
      </c>
      <c r="AD6" s="21">
        <v>0</v>
      </c>
      <c r="AE6" s="18" t="s">
        <v>66</v>
      </c>
      <c r="AF6" s="22">
        <v>45476</v>
      </c>
      <c r="AG6" s="22"/>
      <c r="AH6" s="18" t="s">
        <v>66</v>
      </c>
      <c r="AI6" s="18" t="s">
        <v>74</v>
      </c>
      <c r="AJ6" s="20" t="s">
        <v>75</v>
      </c>
      <c r="AK6" s="20" t="s">
        <v>66</v>
      </c>
      <c r="AL6" s="21">
        <v>0</v>
      </c>
      <c r="AM6" s="21">
        <v>0</v>
      </c>
      <c r="AN6" s="20" t="s">
        <v>66</v>
      </c>
      <c r="AO6" s="18" t="s">
        <v>90</v>
      </c>
      <c r="AP6" s="18" t="s">
        <v>66</v>
      </c>
      <c r="AQ6" s="18" t="s">
        <v>66</v>
      </c>
      <c r="AR6" s="18" t="s">
        <v>66</v>
      </c>
      <c r="AS6" s="19" t="s">
        <v>66</v>
      </c>
      <c r="AT6" s="19" t="s">
        <v>66</v>
      </c>
      <c r="AU6" s="18" t="s">
        <v>66</v>
      </c>
      <c r="AV6" s="19" t="s">
        <v>66</v>
      </c>
      <c r="AW6" s="19" t="s">
        <v>66</v>
      </c>
      <c r="AX6" s="19" t="s">
        <v>66</v>
      </c>
      <c r="AY6" s="18" t="s">
        <v>66</v>
      </c>
      <c r="AZ6" s="19" t="s">
        <v>66</v>
      </c>
      <c r="BA6" s="19" t="s">
        <v>66</v>
      </c>
      <c r="BB6" s="19" t="s">
        <v>66</v>
      </c>
      <c r="BC6" s="19" t="s">
        <v>66</v>
      </c>
      <c r="BD6" s="19" t="s">
        <v>66</v>
      </c>
      <c r="BE6" s="19" t="s">
        <v>66</v>
      </c>
      <c r="BF6" s="19" t="s">
        <v>66</v>
      </c>
      <c r="BG6" s="19" t="s">
        <v>66</v>
      </c>
      <c r="BH6" s="19" t="s">
        <v>66</v>
      </c>
      <c r="BI6" s="19" t="s">
        <v>66</v>
      </c>
      <c r="BJ6" s="19" t="s">
        <v>66</v>
      </c>
    </row>
    <row r="7" ht="14.25" customHeight="1" spans="1:62">
      <c r="A7" s="18" t="s">
        <v>62</v>
      </c>
      <c r="B7" s="18" t="s">
        <v>63</v>
      </c>
      <c r="C7" s="19" t="s">
        <v>64</v>
      </c>
      <c r="D7" s="19" t="s">
        <v>65</v>
      </c>
      <c r="E7" s="18" t="s">
        <v>66</v>
      </c>
      <c r="F7" s="19" t="s">
        <v>66</v>
      </c>
      <c r="G7" s="19" t="s">
        <v>66</v>
      </c>
      <c r="H7" s="20">
        <v>1</v>
      </c>
      <c r="I7" s="18" t="s">
        <v>67</v>
      </c>
      <c r="J7" s="18" t="s">
        <v>91</v>
      </c>
      <c r="K7" s="18" t="s">
        <v>92</v>
      </c>
      <c r="L7" s="18" t="s">
        <v>93</v>
      </c>
      <c r="M7" s="18" t="s">
        <v>66</v>
      </c>
      <c r="N7" s="18" t="s">
        <v>66</v>
      </c>
      <c r="O7" s="18" t="s">
        <v>66</v>
      </c>
      <c r="P7" s="18" t="s">
        <v>66</v>
      </c>
      <c r="Q7" s="18" t="s">
        <v>66</v>
      </c>
      <c r="R7" s="18" t="s">
        <v>71</v>
      </c>
      <c r="S7" s="18" t="s">
        <v>72</v>
      </c>
      <c r="T7" s="21">
        <v>5</v>
      </c>
      <c r="U7" s="21">
        <v>5</v>
      </c>
      <c r="V7" s="21">
        <v>1</v>
      </c>
      <c r="W7" s="20" t="s">
        <v>73</v>
      </c>
      <c r="X7" s="21">
        <v>0</v>
      </c>
      <c r="Y7" s="21">
        <v>0</v>
      </c>
      <c r="Z7" s="18" t="s">
        <v>67</v>
      </c>
      <c r="AA7" s="19" t="s">
        <v>66</v>
      </c>
      <c r="AB7" s="19" t="s">
        <v>66</v>
      </c>
      <c r="AC7" s="19" t="s">
        <v>66</v>
      </c>
      <c r="AD7" s="21">
        <v>0</v>
      </c>
      <c r="AE7" s="18" t="s">
        <v>66</v>
      </c>
      <c r="AF7" s="22">
        <v>45544</v>
      </c>
      <c r="AG7" s="22"/>
      <c r="AH7" s="18" t="s">
        <v>66</v>
      </c>
      <c r="AI7" s="18" t="s">
        <v>74</v>
      </c>
      <c r="AJ7" s="20" t="s">
        <v>75</v>
      </c>
      <c r="AK7" s="20" t="s">
        <v>66</v>
      </c>
      <c r="AL7" s="21">
        <v>0</v>
      </c>
      <c r="AM7" s="21">
        <v>0</v>
      </c>
      <c r="AN7" s="20" t="s">
        <v>66</v>
      </c>
      <c r="AO7" s="18" t="s">
        <v>94</v>
      </c>
      <c r="AP7" s="18" t="s">
        <v>66</v>
      </c>
      <c r="AQ7" s="18" t="s">
        <v>66</v>
      </c>
      <c r="AR7" s="18" t="s">
        <v>66</v>
      </c>
      <c r="AS7" s="19" t="s">
        <v>66</v>
      </c>
      <c r="AT7" s="19" t="s">
        <v>66</v>
      </c>
      <c r="AU7" s="18" t="s">
        <v>66</v>
      </c>
      <c r="AV7" s="19" t="s">
        <v>66</v>
      </c>
      <c r="AW7" s="19" t="s">
        <v>66</v>
      </c>
      <c r="AX7" s="19" t="s">
        <v>66</v>
      </c>
      <c r="AY7" s="18" t="s">
        <v>66</v>
      </c>
      <c r="AZ7" s="19" t="s">
        <v>66</v>
      </c>
      <c r="BA7" s="19" t="s">
        <v>66</v>
      </c>
      <c r="BB7" s="19" t="s">
        <v>66</v>
      </c>
      <c r="BC7" s="19" t="s">
        <v>66</v>
      </c>
      <c r="BD7" s="19" t="s">
        <v>66</v>
      </c>
      <c r="BE7" s="19" t="s">
        <v>66</v>
      </c>
      <c r="BF7" s="19" t="s">
        <v>66</v>
      </c>
      <c r="BG7" s="19" t="s">
        <v>66</v>
      </c>
      <c r="BH7" s="19" t="s">
        <v>66</v>
      </c>
      <c r="BI7" s="19" t="s">
        <v>66</v>
      </c>
      <c r="BJ7" s="19" t="s">
        <v>66</v>
      </c>
    </row>
    <row r="8" ht="14.25" customHeight="1" spans="1:62">
      <c r="A8" s="18" t="s">
        <v>62</v>
      </c>
      <c r="B8" s="18" t="s">
        <v>63</v>
      </c>
      <c r="C8" s="19" t="s">
        <v>64</v>
      </c>
      <c r="D8" s="19" t="s">
        <v>65</v>
      </c>
      <c r="E8" s="18" t="s">
        <v>66</v>
      </c>
      <c r="F8" s="19" t="s">
        <v>66</v>
      </c>
      <c r="G8" s="19" t="s">
        <v>66</v>
      </c>
      <c r="H8" s="20">
        <v>1</v>
      </c>
      <c r="I8" s="18" t="s">
        <v>67</v>
      </c>
      <c r="J8" s="18" t="s">
        <v>95</v>
      </c>
      <c r="K8" s="18" t="s">
        <v>96</v>
      </c>
      <c r="L8" s="18" t="s">
        <v>97</v>
      </c>
      <c r="M8" s="18" t="s">
        <v>66</v>
      </c>
      <c r="N8" s="18" t="s">
        <v>66</v>
      </c>
      <c r="O8" s="18" t="s">
        <v>66</v>
      </c>
      <c r="P8" s="18" t="s">
        <v>66</v>
      </c>
      <c r="Q8" s="18" t="s">
        <v>66</v>
      </c>
      <c r="R8" s="18" t="s">
        <v>98</v>
      </c>
      <c r="S8" s="18" t="s">
        <v>72</v>
      </c>
      <c r="T8" s="21">
        <v>1</v>
      </c>
      <c r="U8" s="21">
        <v>1</v>
      </c>
      <c r="V8" s="21">
        <v>1</v>
      </c>
      <c r="W8" s="20" t="s">
        <v>73</v>
      </c>
      <c r="X8" s="21">
        <v>0</v>
      </c>
      <c r="Y8" s="21">
        <v>0</v>
      </c>
      <c r="Z8" s="18" t="s">
        <v>66</v>
      </c>
      <c r="AA8" s="19" t="s">
        <v>66</v>
      </c>
      <c r="AB8" s="19" t="s">
        <v>66</v>
      </c>
      <c r="AC8" s="19" t="s">
        <v>66</v>
      </c>
      <c r="AD8" s="21">
        <v>0</v>
      </c>
      <c r="AE8" s="18" t="s">
        <v>66</v>
      </c>
      <c r="AF8" s="22">
        <v>45852</v>
      </c>
      <c r="AG8" s="22"/>
      <c r="AH8" s="18" t="s">
        <v>66</v>
      </c>
      <c r="AI8" s="18" t="s">
        <v>99</v>
      </c>
      <c r="AJ8" s="20" t="s">
        <v>75</v>
      </c>
      <c r="AK8" s="20" t="s">
        <v>66</v>
      </c>
      <c r="AL8" s="21">
        <v>0</v>
      </c>
      <c r="AM8" s="21">
        <v>0</v>
      </c>
      <c r="AN8" s="20" t="s">
        <v>66</v>
      </c>
      <c r="AO8" s="18" t="s">
        <v>66</v>
      </c>
      <c r="AP8" s="18" t="s">
        <v>66</v>
      </c>
      <c r="AQ8" s="18" t="s">
        <v>66</v>
      </c>
      <c r="AR8" s="18" t="s">
        <v>66</v>
      </c>
      <c r="AS8" s="19" t="s">
        <v>66</v>
      </c>
      <c r="AT8" s="19" t="s">
        <v>66</v>
      </c>
      <c r="AU8" s="18" t="s">
        <v>66</v>
      </c>
      <c r="AV8" s="19" t="s">
        <v>66</v>
      </c>
      <c r="AW8" s="19" t="s">
        <v>66</v>
      </c>
      <c r="AX8" s="19" t="s">
        <v>66</v>
      </c>
      <c r="AY8" s="18" t="s">
        <v>66</v>
      </c>
      <c r="AZ8" s="19" t="s">
        <v>66</v>
      </c>
      <c r="BA8" s="19" t="s">
        <v>66</v>
      </c>
      <c r="BB8" s="19" t="s">
        <v>66</v>
      </c>
      <c r="BC8" s="19" t="s">
        <v>66</v>
      </c>
      <c r="BD8" s="19" t="s">
        <v>66</v>
      </c>
      <c r="BE8" s="19" t="s">
        <v>66</v>
      </c>
      <c r="BF8" s="19" t="s">
        <v>66</v>
      </c>
      <c r="BG8" s="19" t="s">
        <v>66</v>
      </c>
      <c r="BH8" s="19" t="s">
        <v>66</v>
      </c>
      <c r="BI8" s="19" t="s">
        <v>66</v>
      </c>
      <c r="BJ8" s="19" t="s">
        <v>66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"/>
  <sheetViews>
    <sheetView tabSelected="1" workbookViewId="0">
      <selection activeCell="J4" sqref="J4"/>
    </sheetView>
  </sheetViews>
  <sheetFormatPr defaultColWidth="10.2857142857143" defaultRowHeight="15"/>
  <cols>
    <col min="1" max="1" width="5.57142857142857" style="1" customWidth="1"/>
    <col min="2" max="2" width="14.2857142857143" style="1" customWidth="1"/>
    <col min="3" max="3" width="16" customWidth="1"/>
    <col min="4" max="4" width="54" style="2" customWidth="1"/>
    <col min="5" max="6" width="6.14285714285714" style="1" customWidth="1"/>
    <col min="7" max="7" width="25.5714285714286" customWidth="1"/>
    <col min="8" max="8" width="8.85714285714286" style="1" customWidth="1"/>
    <col min="9" max="9" width="20.1428571428571" customWidth="1"/>
  </cols>
  <sheetData>
    <row r="1" ht="33" customHeight="1" spans="1:12">
      <c r="A1" s="3" t="s">
        <v>100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2" customHeight="1" spans="1:12">
      <c r="A2" s="4" t="s">
        <v>0</v>
      </c>
      <c r="B2" s="4" t="s">
        <v>9</v>
      </c>
      <c r="C2" s="4" t="s">
        <v>10</v>
      </c>
      <c r="D2" s="5" t="s">
        <v>11</v>
      </c>
      <c r="E2" s="4" t="s">
        <v>17</v>
      </c>
      <c r="F2" s="6" t="s">
        <v>101</v>
      </c>
      <c r="G2" s="4" t="s">
        <v>40</v>
      </c>
      <c r="H2" s="7" t="s">
        <v>102</v>
      </c>
      <c r="I2" s="7" t="s">
        <v>46</v>
      </c>
      <c r="J2" s="7" t="s">
        <v>103</v>
      </c>
    </row>
    <row r="3" ht="43" customHeight="1" spans="1:12">
      <c r="A3" s="8" t="s">
        <v>62</v>
      </c>
      <c r="B3" s="8" t="s">
        <v>68</v>
      </c>
      <c r="C3" s="9" t="s">
        <v>69</v>
      </c>
      <c r="D3" s="10" t="s">
        <v>70</v>
      </c>
      <c r="E3" s="8" t="s">
        <v>71</v>
      </c>
      <c r="F3" s="11">
        <v>1</v>
      </c>
      <c r="G3" s="9" t="s">
        <v>76</v>
      </c>
      <c r="H3" s="12">
        <f>F3*300</f>
        <v>300</v>
      </c>
      <c r="I3" s="13"/>
      <c r="J3" s="13"/>
      <c r="L3" s="14"/>
    </row>
    <row r="4" ht="43" customHeight="1" spans="1:12">
      <c r="A4" s="8" t="s">
        <v>104</v>
      </c>
      <c r="B4" s="8" t="s">
        <v>77</v>
      </c>
      <c r="C4" s="9" t="s">
        <v>78</v>
      </c>
      <c r="D4" s="10" t="s">
        <v>79</v>
      </c>
      <c r="E4" s="8" t="s">
        <v>71</v>
      </c>
      <c r="F4" s="11">
        <v>1</v>
      </c>
      <c r="G4" s="9" t="s">
        <v>80</v>
      </c>
      <c r="H4" s="12">
        <f t="shared" ref="H4:H9" si="0">F4*300</f>
        <v>300</v>
      </c>
      <c r="I4" s="13"/>
      <c r="J4" s="13"/>
    </row>
    <row r="5" ht="43" customHeight="1" spans="1:12">
      <c r="A5" s="8" t="s">
        <v>105</v>
      </c>
      <c r="B5" s="8" t="s">
        <v>81</v>
      </c>
      <c r="C5" s="9" t="s">
        <v>78</v>
      </c>
      <c r="D5" s="10" t="s">
        <v>82</v>
      </c>
      <c r="E5" s="8" t="s">
        <v>71</v>
      </c>
      <c r="F5" s="11">
        <v>3</v>
      </c>
      <c r="G5" s="9" t="s">
        <v>83</v>
      </c>
      <c r="H5" s="12">
        <f t="shared" si="0"/>
        <v>900</v>
      </c>
      <c r="I5" s="13"/>
      <c r="J5" s="13"/>
    </row>
    <row r="6" ht="43" customHeight="1" spans="1:12">
      <c r="A6" s="8" t="s">
        <v>106</v>
      </c>
      <c r="B6" s="8" t="s">
        <v>84</v>
      </c>
      <c r="C6" s="9" t="s">
        <v>78</v>
      </c>
      <c r="D6" s="10" t="s">
        <v>85</v>
      </c>
      <c r="E6" s="8" t="s">
        <v>71</v>
      </c>
      <c r="F6" s="11">
        <v>1</v>
      </c>
      <c r="G6" s="9" t="s">
        <v>86</v>
      </c>
      <c r="H6" s="12">
        <f t="shared" si="0"/>
        <v>300</v>
      </c>
      <c r="I6" s="13"/>
      <c r="J6" s="13"/>
    </row>
    <row r="7" ht="43" customHeight="1" spans="1:12">
      <c r="A7" s="8" t="s">
        <v>107</v>
      </c>
      <c r="B7" s="8" t="s">
        <v>87</v>
      </c>
      <c r="C7" s="9" t="s">
        <v>88</v>
      </c>
      <c r="D7" s="10" t="s">
        <v>89</v>
      </c>
      <c r="E7" s="8" t="s">
        <v>71</v>
      </c>
      <c r="F7" s="11">
        <v>2</v>
      </c>
      <c r="G7" s="9" t="s">
        <v>90</v>
      </c>
      <c r="H7" s="12">
        <f t="shared" si="0"/>
        <v>600</v>
      </c>
      <c r="I7" s="13"/>
      <c r="J7" s="13"/>
    </row>
    <row r="8" ht="43" customHeight="1" spans="1:12">
      <c r="A8" s="8" t="s">
        <v>108</v>
      </c>
      <c r="B8" s="8" t="s">
        <v>91</v>
      </c>
      <c r="C8" s="9" t="s">
        <v>92</v>
      </c>
      <c r="D8" s="10" t="s">
        <v>93</v>
      </c>
      <c r="E8" s="8" t="s">
        <v>71</v>
      </c>
      <c r="F8" s="11">
        <v>5</v>
      </c>
      <c r="G8" s="9" t="s">
        <v>94</v>
      </c>
      <c r="H8" s="12">
        <f t="shared" si="0"/>
        <v>1500</v>
      </c>
      <c r="I8" s="13"/>
      <c r="J8" s="13"/>
    </row>
    <row r="9" ht="43" customHeight="1" spans="1:12">
      <c r="A9" s="8" t="s">
        <v>109</v>
      </c>
      <c r="B9" s="8" t="s">
        <v>95</v>
      </c>
      <c r="C9" s="9" t="s">
        <v>96</v>
      </c>
      <c r="D9" s="10" t="s">
        <v>97</v>
      </c>
      <c r="E9" s="8" t="s">
        <v>98</v>
      </c>
      <c r="F9" s="11">
        <v>1</v>
      </c>
      <c r="G9" s="9" t="s">
        <v>66</v>
      </c>
      <c r="H9" s="12">
        <f t="shared" si="0"/>
        <v>300</v>
      </c>
      <c r="I9" s="13"/>
      <c r="J9" s="13"/>
    </row>
  </sheetData>
  <mergeCells count="1">
    <mergeCell ref="A1:J1"/>
  </mergeCells>
  <pageMargins left="0.314583333333333" right="0.156944444444444" top="0.472222222222222" bottom="0.118055555555556" header="0.156944444444444" footer="0.0784722222222222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生产用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所念皆遗憾</cp:lastModifiedBy>
  <dcterms:created xsi:type="dcterms:W3CDTF">2025-09-22T08:42:00Z</dcterms:created>
  <dcterms:modified xsi:type="dcterms:W3CDTF">2026-07-07T02:53:10Z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63B8F5C888F542DF9F167835B240D51D_13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