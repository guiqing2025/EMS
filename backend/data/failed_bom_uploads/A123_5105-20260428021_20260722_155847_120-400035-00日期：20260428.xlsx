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BOM明细" sheetId="1" r:id="rId1"/>
    <sheet name="SMT" sheetId="2" r:id="rId2"/>
    <sheet name="DIP" sheetId="3" r:id="rId3"/>
    <sheet name="SMT备料" sheetId="4" r:id="rId4"/>
    <sheet name="DIP备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<sst xmlns="http://schemas.openxmlformats.org/spreadsheetml/2006/main" count="216" uniqueCount="64">
  <si>
    <t>主件料号</t>
  </si>
  <si>
    <t>主件品名</t>
  </si>
  <si>
    <t>主件规格</t>
  </si>
  <si>
    <t>序号</t>
  </si>
  <si>
    <t>元件料号</t>
  </si>
  <si>
    <t>元件品名</t>
  </si>
  <si>
    <t>元件规格</t>
  </si>
  <si>
    <t>属性</t>
  </si>
  <si>
    <t>单位用量</t>
  </si>
  <si>
    <t>单位</t>
  </si>
  <si>
    <t>损耗率%</t>
  </si>
  <si>
    <t>备注</t>
  </si>
  <si>
    <t>插件位置</t>
  </si>
  <si>
    <t>120-400035-00</t>
  </si>
  <si>
    <t>输入输出板PCBA</t>
  </si>
  <si>
    <t>PCBA,HV-48100&amp;96050-2.0,Sensor port,FR4,V1.0,CE</t>
  </si>
  <si>
    <t>0010</t>
  </si>
  <si>
    <t>112-100024-00</t>
  </si>
  <si>
    <t>贴片陶瓷电容</t>
  </si>
  <si>
    <t>CCC,0603,50V,104±10%,X7R</t>
  </si>
  <si>
    <t>P:采购件</t>
  </si>
  <si>
    <t xml:space="preserve">PCS </t>
  </si>
  <si>
    <t/>
  </si>
  <si>
    <t>C1</t>
  </si>
  <si>
    <t>0020</t>
  </si>
  <si>
    <t>113-520040-00</t>
  </si>
  <si>
    <t>负温度系数温感电阻(NTC)</t>
  </si>
  <si>
    <t>NTC,10K±1%,L2*W1.25*T0.85,3950K,0.44mA,100mW,2.0mW/℃,-40℃~+125℃,CMF103F3950FB0805,时恒,SMD</t>
  </si>
  <si>
    <t>新增元件品号20250411</t>
  </si>
  <si>
    <t>NTC1</t>
  </si>
  <si>
    <t>0030</t>
  </si>
  <si>
    <t>114-310022-00</t>
  </si>
  <si>
    <t>霍尔传感器</t>
  </si>
  <si>
    <t>STB-100LA/ZN,+5V,100A,L48.5*W19.5,-40~105℃,600V,希磁,0.15,300KHz,rohs,DIP</t>
  </si>
  <si>
    <t>新增元件品号20250909</t>
  </si>
  <si>
    <t>H1</t>
  </si>
  <si>
    <t>0040</t>
  </si>
  <si>
    <t>118-400032-00</t>
  </si>
  <si>
    <t>输入输出板光板</t>
  </si>
  <si>
    <t>PCB,FLH-2.0,Sensor port,V1.1,FR4,2S,1/1OZ,1.6,TG150</t>
  </si>
  <si>
    <t>0050</t>
  </si>
  <si>
    <t>117-100302-00</t>
  </si>
  <si>
    <t>插座</t>
  </si>
  <si>
    <t>插座,2043WV-08PA-SSSW1BT,A键位,2.0mm,8PIN,180°,黑色,-40～125°C,高温,渡锡,带卡扣,rohs,思索技术,DIP</t>
  </si>
  <si>
    <t>CN1</t>
  </si>
  <si>
    <t>0022</t>
  </si>
  <si>
    <t>0021</t>
  </si>
  <si>
    <r>
      <rPr>
        <strike/>
        <sz val="11"/>
        <rFont val="宋体"/>
        <charset val="134"/>
      </rPr>
      <t>输入输出板</t>
    </r>
    <r>
      <rPr>
        <strike/>
        <sz val="11"/>
        <rFont val="Calibri"/>
        <charset val="134"/>
      </rPr>
      <t>PCBA</t>
    </r>
  </si>
  <si>
    <t>0023</t>
  </si>
  <si>
    <r>
      <rPr>
        <strike/>
        <sz val="11"/>
        <rFont val="宋体"/>
        <charset val="134"/>
      </rPr>
      <t>插座</t>
    </r>
    <r>
      <rPr>
        <strike/>
        <sz val="11"/>
        <rFont val="Calibri"/>
        <charset val="134"/>
      </rPr>
      <t>,2043WV-08PA-SSSW1BT,A</t>
    </r>
    <r>
      <rPr>
        <strike/>
        <sz val="11"/>
        <rFont val="宋体"/>
        <charset val="134"/>
      </rPr>
      <t>键位</t>
    </r>
    <r>
      <rPr>
        <strike/>
        <sz val="11"/>
        <rFont val="Calibri"/>
        <charset val="134"/>
      </rPr>
      <t>,2.0mm,8PIN,180°,</t>
    </r>
    <r>
      <rPr>
        <strike/>
        <sz val="11"/>
        <rFont val="宋体"/>
        <charset val="134"/>
      </rPr>
      <t>黑色</t>
    </r>
    <r>
      <rPr>
        <strike/>
        <sz val="11"/>
        <rFont val="Calibri"/>
        <charset val="134"/>
      </rPr>
      <t>,-40</t>
    </r>
    <r>
      <rPr>
        <strike/>
        <sz val="11"/>
        <rFont val="宋体"/>
        <charset val="134"/>
      </rPr>
      <t>～</t>
    </r>
    <r>
      <rPr>
        <strike/>
        <sz val="11"/>
        <rFont val="Calibri"/>
        <charset val="134"/>
      </rPr>
      <t>125°C,</t>
    </r>
    <r>
      <rPr>
        <strike/>
        <sz val="11"/>
        <rFont val="宋体"/>
        <charset val="134"/>
      </rPr>
      <t>高温</t>
    </r>
    <r>
      <rPr>
        <strike/>
        <sz val="11"/>
        <rFont val="Calibri"/>
        <charset val="134"/>
      </rPr>
      <t>,</t>
    </r>
    <r>
      <rPr>
        <strike/>
        <sz val="11"/>
        <rFont val="宋体"/>
        <charset val="134"/>
      </rPr>
      <t>渡锡</t>
    </r>
    <r>
      <rPr>
        <strike/>
        <sz val="11"/>
        <rFont val="Calibri"/>
        <charset val="134"/>
      </rPr>
      <t>,</t>
    </r>
    <r>
      <rPr>
        <strike/>
        <sz val="11"/>
        <rFont val="宋体"/>
        <charset val="134"/>
      </rPr>
      <t>带卡扣</t>
    </r>
    <r>
      <rPr>
        <strike/>
        <sz val="11"/>
        <rFont val="Calibri"/>
        <charset val="134"/>
      </rPr>
      <t>,rohs,</t>
    </r>
    <r>
      <rPr>
        <strike/>
        <sz val="11"/>
        <rFont val="宋体"/>
        <charset val="134"/>
      </rPr>
      <t>思索技术</t>
    </r>
    <r>
      <rPr>
        <strike/>
        <sz val="11"/>
        <rFont val="Calibri"/>
        <charset val="134"/>
      </rPr>
      <t>,DIP</t>
    </r>
  </si>
  <si>
    <r>
      <rPr>
        <strike/>
        <sz val="11"/>
        <rFont val="Calibri"/>
        <charset val="134"/>
      </rPr>
      <t>P:</t>
    </r>
    <r>
      <rPr>
        <strike/>
        <sz val="11"/>
        <rFont val="宋体"/>
        <charset val="134"/>
      </rPr>
      <t>采购件</t>
    </r>
  </si>
  <si>
    <r>
      <rPr>
        <strike/>
        <sz val="11"/>
        <rFont val="宋体"/>
        <charset val="134"/>
      </rPr>
      <t>新增元件品号</t>
    </r>
    <r>
      <rPr>
        <strike/>
        <sz val="11"/>
        <rFont val="Calibri"/>
        <charset val="134"/>
      </rPr>
      <t>20250909</t>
    </r>
  </si>
  <si>
    <t>117-100213-00</t>
  </si>
  <si>
    <r>
      <rPr>
        <sz val="8"/>
        <color rgb="FFFF0000"/>
        <rFont val="宋体"/>
        <charset val="0"/>
      </rPr>
      <t>插座</t>
    </r>
    <r>
      <rPr>
        <sz val="8"/>
        <color rgb="FFFF0000"/>
        <rFont val="MS Sans Serif"/>
        <charset val="0"/>
      </rPr>
      <t>,347920080  A code,2.0mm,1*8PIN,180°,</t>
    </r>
    <r>
      <rPr>
        <sz val="8"/>
        <color rgb="FFFF0000"/>
        <rFont val="宋体"/>
        <charset val="0"/>
      </rPr>
      <t>黑色</t>
    </r>
    <r>
      <rPr>
        <sz val="8"/>
        <color rgb="FFFF0000"/>
        <rFont val="MS Sans Serif"/>
        <charset val="0"/>
      </rPr>
      <t>,-40</t>
    </r>
    <r>
      <rPr>
        <sz val="8"/>
        <color rgb="FFFF0000"/>
        <rFont val="宋体"/>
        <charset val="0"/>
      </rPr>
      <t>～</t>
    </r>
    <r>
      <rPr>
        <sz val="8"/>
        <color rgb="FFFF0000"/>
        <rFont val="MS Sans Serif"/>
        <charset val="0"/>
      </rPr>
      <t>105°C,</t>
    </r>
    <r>
      <rPr>
        <sz val="8"/>
        <color rgb="FFFF0000"/>
        <rFont val="宋体"/>
        <charset val="0"/>
      </rPr>
      <t>渡锡</t>
    </r>
    <r>
      <rPr>
        <sz val="8"/>
        <color rgb="FFFF0000"/>
        <rFont val="MS Sans Serif"/>
        <charset val="0"/>
      </rPr>
      <t>,</t>
    </r>
    <r>
      <rPr>
        <sz val="8"/>
        <color rgb="FFFF0000"/>
        <rFont val="宋体"/>
        <charset val="0"/>
      </rPr>
      <t>带卡扣</t>
    </r>
    <r>
      <rPr>
        <sz val="8"/>
        <color rgb="FFFF0000"/>
        <rFont val="MS Sans Serif"/>
        <charset val="0"/>
      </rPr>
      <t>,rohs,Molex,DIP</t>
    </r>
  </si>
  <si>
    <r>
      <rPr>
        <sz val="11"/>
        <color rgb="FFFF0000"/>
        <rFont val="Calibri"/>
        <charset val="134"/>
      </rPr>
      <t>P:</t>
    </r>
    <r>
      <rPr>
        <sz val="11"/>
        <color rgb="FFFF0000"/>
        <rFont val="宋体"/>
        <charset val="134"/>
      </rPr>
      <t>采购件</t>
    </r>
  </si>
  <si>
    <r>
      <rPr>
        <sz val="11"/>
        <color rgb="FFFF0000"/>
        <rFont val="宋体"/>
        <charset val="134"/>
      </rPr>
      <t>新增元件品号</t>
    </r>
    <r>
      <rPr>
        <sz val="11"/>
        <color rgb="FFFF0000"/>
        <rFont val="Calibri"/>
        <charset val="134"/>
      </rPr>
      <t xml:space="preserve">20250909
</t>
    </r>
    <r>
      <rPr>
        <sz val="11"/>
        <color rgb="FFFF0000"/>
        <rFont val="宋体"/>
        <charset val="134"/>
      </rPr>
      <t>替代</t>
    </r>
  </si>
  <si>
    <t>客户：A123    120-400035-00   订单350套   订单号：5105-20260428021   计划批号：PMC26042801  SMT</t>
  </si>
  <si>
    <t>用量</t>
  </si>
  <si>
    <t>需求</t>
  </si>
  <si>
    <t>退料数</t>
  </si>
  <si>
    <t>0011</t>
  </si>
  <si>
    <t>0012</t>
  </si>
  <si>
    <t>客户：A123    120-400035-00   订单350套   订单号：5105-20260428021   计划批号：PMC26042801  DIP</t>
  </si>
  <si>
    <r>
      <rPr>
        <sz val="11"/>
        <color rgb="FFFF0000"/>
        <rFont val="宋体"/>
        <charset val="0"/>
      </rPr>
      <t>插座</t>
    </r>
    <r>
      <rPr>
        <sz val="11"/>
        <color rgb="FFFF0000"/>
        <rFont val="MS Sans Serif"/>
        <charset val="0"/>
      </rPr>
      <t>,347920080  A code,2.0mm,1*8PIN,180°,</t>
    </r>
    <r>
      <rPr>
        <sz val="11"/>
        <color rgb="FFFF0000"/>
        <rFont val="宋体"/>
        <charset val="0"/>
      </rPr>
      <t>黑色</t>
    </r>
    <r>
      <rPr>
        <sz val="11"/>
        <color rgb="FFFF0000"/>
        <rFont val="MS Sans Serif"/>
        <charset val="0"/>
      </rPr>
      <t>,-40</t>
    </r>
    <r>
      <rPr>
        <sz val="11"/>
        <color rgb="FFFF0000"/>
        <rFont val="宋体"/>
        <charset val="0"/>
      </rPr>
      <t>～</t>
    </r>
    <r>
      <rPr>
        <sz val="11"/>
        <color rgb="FFFF0000"/>
        <rFont val="MS Sans Serif"/>
        <charset val="0"/>
      </rPr>
      <t>105°C,</t>
    </r>
    <r>
      <rPr>
        <sz val="11"/>
        <color rgb="FFFF0000"/>
        <rFont val="宋体"/>
        <charset val="0"/>
      </rPr>
      <t>渡锡</t>
    </r>
    <r>
      <rPr>
        <sz val="11"/>
        <color rgb="FFFF0000"/>
        <rFont val="MS Sans Serif"/>
        <charset val="0"/>
      </rPr>
      <t>,</t>
    </r>
    <r>
      <rPr>
        <sz val="11"/>
        <color rgb="FFFF0000"/>
        <rFont val="宋体"/>
        <charset val="0"/>
      </rPr>
      <t>带卡扣</t>
    </r>
    <r>
      <rPr>
        <sz val="11"/>
        <color rgb="FFFF0000"/>
        <rFont val="MS Sans Serif"/>
        <charset val="0"/>
      </rPr>
      <t>,rohs,Molex,DIP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</si>
</sst>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  <scheme val="minor"/>
    </font>
    <font>
      <strike/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strike/>
      <sz val="11"/>
      <name val="Calibri"/>
      <charset val="134"/>
    </font>
    <font>
      <strike/>
      <sz val="11"/>
      <name val="宋体"/>
      <charset val="134"/>
    </font>
    <font>
      <sz val="11"/>
      <color rgb="FFFF0000"/>
      <name val="MS Sans Serif"/>
      <charset val="0"/>
    </font>
    <font>
      <sz val="11"/>
      <color rgb="FFFF0000"/>
      <name val="宋体"/>
      <charset val="0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b/>
      <sz val="14"/>
      <name val="宋体"/>
      <charset val="134"/>
    </font>
    <font>
      <sz val="8"/>
      <color rgb="FFFF0000"/>
      <name val="MS Sans Serif"/>
      <charset val="0"/>
    </font>
    <font>
      <sz val="8"/>
      <color rgb="FFFF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13" fillId="0" borderId="0" xfId="0" applyNumberFormat="1" applyFont="1" applyFill="1" applyBorder="1" applyAlignment="1" applyProtection="1">
      <alignment horizontal="left" vertical="top" wrapText="1"/>
    </xf>
    <xf numFmtId="0" fontId="14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Font="1" applyAlignment="1"/>
    <xf numFmtId="0" fontId="1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3" sqref="$A3:$XFD6"/>
    </sheetView>
  </sheetViews>
  <sheetFormatPr defaultColWidth="9" defaultRowHeight="13.5" outlineLevelRow="5"/>
  <cols>
    <col min="7" max="7" width="87.625" customWidth="1"/>
  </cols>
  <sheetData>
    <row r="1" ht="37.5" spans="1:1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ht="15" spans="1:13">
      <c r="A2" s="29" t="s">
        <v>13</v>
      </c>
      <c r="B2" s="29" t="s">
        <v>14</v>
      </c>
      <c r="C2" s="29" t="s">
        <v>15</v>
      </c>
      <c r="D2" s="29" t="s">
        <v>16</v>
      </c>
      <c r="E2" s="29" t="s">
        <v>17</v>
      </c>
      <c r="F2" s="29" t="s">
        <v>18</v>
      </c>
      <c r="G2" s="29" t="s">
        <v>19</v>
      </c>
      <c r="H2" s="29" t="s">
        <v>20</v>
      </c>
      <c r="I2" s="29">
        <v>1</v>
      </c>
      <c r="J2" s="29" t="s">
        <v>21</v>
      </c>
      <c r="K2" s="29">
        <v>0.5</v>
      </c>
      <c r="L2" s="29" t="s">
        <v>22</v>
      </c>
      <c r="M2" s="29" t="s">
        <v>23</v>
      </c>
    </row>
    <row r="3" ht="15" spans="1:13">
      <c r="A3" s="29" t="s">
        <v>13</v>
      </c>
      <c r="B3" s="29" t="s">
        <v>14</v>
      </c>
      <c r="C3" s="29" t="s">
        <v>15</v>
      </c>
      <c r="D3" s="29" t="s">
        <v>24</v>
      </c>
      <c r="E3" s="29" t="s">
        <v>25</v>
      </c>
      <c r="F3" s="29" t="s">
        <v>26</v>
      </c>
      <c r="G3" s="29" t="s">
        <v>27</v>
      </c>
      <c r="H3" s="29" t="s">
        <v>20</v>
      </c>
      <c r="I3" s="29">
        <v>1</v>
      </c>
      <c r="J3" s="29" t="s">
        <v>21</v>
      </c>
      <c r="K3" s="29">
        <v>0.1</v>
      </c>
      <c r="L3" s="29" t="s">
        <v>28</v>
      </c>
      <c r="M3" s="29" t="s">
        <v>29</v>
      </c>
    </row>
    <row r="4" ht="15" spans="1:13">
      <c r="A4" s="29" t="s">
        <v>13</v>
      </c>
      <c r="B4" s="29" t="s">
        <v>14</v>
      </c>
      <c r="C4" s="29" t="s">
        <v>15</v>
      </c>
      <c r="D4" s="29" t="s">
        <v>30</v>
      </c>
      <c r="E4" s="29" t="s">
        <v>31</v>
      </c>
      <c r="F4" s="29" t="s">
        <v>32</v>
      </c>
      <c r="G4" s="29" t="s">
        <v>33</v>
      </c>
      <c r="H4" s="29" t="s">
        <v>20</v>
      </c>
      <c r="I4" s="29">
        <v>1</v>
      </c>
      <c r="J4" s="29" t="s">
        <v>21</v>
      </c>
      <c r="K4" s="29">
        <v>0</v>
      </c>
      <c r="L4" s="29" t="s">
        <v>34</v>
      </c>
      <c r="M4" s="29" t="s">
        <v>35</v>
      </c>
    </row>
    <row r="5" ht="15" spans="1:13">
      <c r="A5" s="29" t="s">
        <v>13</v>
      </c>
      <c r="B5" s="29" t="s">
        <v>14</v>
      </c>
      <c r="C5" s="29" t="s">
        <v>15</v>
      </c>
      <c r="D5" s="29" t="s">
        <v>36</v>
      </c>
      <c r="E5" s="29" t="s">
        <v>37</v>
      </c>
      <c r="F5" s="29" t="s">
        <v>38</v>
      </c>
      <c r="G5" s="29" t="s">
        <v>39</v>
      </c>
      <c r="H5" s="29" t="s">
        <v>20</v>
      </c>
      <c r="I5" s="29">
        <v>1</v>
      </c>
      <c r="J5" s="29" t="s">
        <v>21</v>
      </c>
      <c r="K5" s="29">
        <v>0</v>
      </c>
      <c r="L5" s="29" t="s">
        <v>34</v>
      </c>
      <c r="M5" s="29" t="s">
        <v>22</v>
      </c>
    </row>
    <row r="6" ht="15" spans="1:13">
      <c r="A6" s="29" t="s">
        <v>13</v>
      </c>
      <c r="B6" s="29" t="s">
        <v>14</v>
      </c>
      <c r="C6" s="29" t="s">
        <v>15</v>
      </c>
      <c r="D6" s="29" t="s">
        <v>40</v>
      </c>
      <c r="E6" s="29" t="s">
        <v>41</v>
      </c>
      <c r="F6" s="29" t="s">
        <v>42</v>
      </c>
      <c r="G6" s="29" t="s">
        <v>43</v>
      </c>
      <c r="H6" s="29" t="s">
        <v>20</v>
      </c>
      <c r="I6" s="29">
        <v>1</v>
      </c>
      <c r="J6" s="29" t="s">
        <v>21</v>
      </c>
      <c r="K6" s="29">
        <v>0.1</v>
      </c>
      <c r="L6" s="29" t="s">
        <v>34</v>
      </c>
      <c r="M6" s="29" t="s">
        <v>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E19" sqref="E19"/>
    </sheetView>
  </sheetViews>
  <sheetFormatPr defaultColWidth="9" defaultRowHeight="13.5" outlineLevelRow="3"/>
  <cols>
    <col min="6" max="6" width="20.625" customWidth="1"/>
    <col min="7" max="7" width="32.125" customWidth="1"/>
  </cols>
  <sheetData>
    <row r="1" ht="37.5" spans="1:1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ht="15" spans="1:13">
      <c r="A2" s="29" t="s">
        <v>13</v>
      </c>
      <c r="B2" s="29" t="s">
        <v>14</v>
      </c>
      <c r="C2" s="29" t="s">
        <v>15</v>
      </c>
      <c r="D2" s="29" t="s">
        <v>16</v>
      </c>
      <c r="E2" s="29" t="s">
        <v>17</v>
      </c>
      <c r="F2" s="29" t="s">
        <v>18</v>
      </c>
      <c r="G2" s="29" t="s">
        <v>19</v>
      </c>
      <c r="H2" s="29" t="s">
        <v>20</v>
      </c>
      <c r="I2" s="29">
        <v>1</v>
      </c>
      <c r="J2" s="29" t="s">
        <v>21</v>
      </c>
      <c r="K2" s="29">
        <v>0.5</v>
      </c>
      <c r="L2" s="29" t="s">
        <v>22</v>
      </c>
      <c r="M2" s="29" t="s">
        <v>23</v>
      </c>
    </row>
    <row r="3" ht="15" spans="1:13">
      <c r="A3" s="29" t="s">
        <v>13</v>
      </c>
      <c r="B3" s="29" t="s">
        <v>14</v>
      </c>
      <c r="C3" s="29" t="s">
        <v>15</v>
      </c>
      <c r="D3" s="29" t="s">
        <v>24</v>
      </c>
      <c r="E3" s="29" t="s">
        <v>25</v>
      </c>
      <c r="F3" s="29" t="s">
        <v>26</v>
      </c>
      <c r="G3" s="29" t="s">
        <v>27</v>
      </c>
      <c r="H3" s="29" t="s">
        <v>20</v>
      </c>
      <c r="I3" s="29">
        <v>1</v>
      </c>
      <c r="J3" s="29" t="s">
        <v>21</v>
      </c>
      <c r="K3" s="29">
        <v>0.1</v>
      </c>
      <c r="L3" s="29" t="s">
        <v>28</v>
      </c>
      <c r="M3" s="29" t="s">
        <v>29</v>
      </c>
    </row>
    <row r="4" ht="15" spans="1:13">
      <c r="A4" s="29" t="s">
        <v>13</v>
      </c>
      <c r="B4" s="29" t="s">
        <v>14</v>
      </c>
      <c r="C4" s="29" t="s">
        <v>15</v>
      </c>
      <c r="D4" s="29" t="s">
        <v>45</v>
      </c>
      <c r="E4" s="29" t="s">
        <v>37</v>
      </c>
      <c r="F4" s="29" t="s">
        <v>38</v>
      </c>
      <c r="G4" s="29" t="s">
        <v>39</v>
      </c>
      <c r="H4" s="29" t="s">
        <v>20</v>
      </c>
      <c r="I4" s="29">
        <v>1</v>
      </c>
      <c r="J4" s="29" t="s">
        <v>21</v>
      </c>
      <c r="K4" s="29">
        <v>0</v>
      </c>
      <c r="L4" s="29" t="s">
        <v>34</v>
      </c>
      <c r="M4" s="29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G20" sqref="G20"/>
    </sheetView>
  </sheetViews>
  <sheetFormatPr defaultColWidth="9" defaultRowHeight="13.5" outlineLevelRow="3"/>
  <cols>
    <col min="5" max="5" width="23.375" customWidth="1"/>
    <col min="7" max="7" width="24.375" customWidth="1"/>
    <col min="12" max="12" width="20.75" customWidth="1"/>
  </cols>
  <sheetData>
    <row r="1" ht="37.5" spans="1:1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ht="15" spans="1:13">
      <c r="A2" s="29" t="s">
        <v>13</v>
      </c>
      <c r="B2" s="29" t="s">
        <v>14</v>
      </c>
      <c r="C2" s="29" t="s">
        <v>15</v>
      </c>
      <c r="D2" s="29" t="s">
        <v>46</v>
      </c>
      <c r="E2" s="29" t="s">
        <v>31</v>
      </c>
      <c r="F2" s="29" t="s">
        <v>32</v>
      </c>
      <c r="G2" s="29" t="s">
        <v>33</v>
      </c>
      <c r="H2" s="29" t="s">
        <v>20</v>
      </c>
      <c r="I2" s="29">
        <v>1</v>
      </c>
      <c r="J2" s="29" t="s">
        <v>21</v>
      </c>
      <c r="K2" s="29">
        <v>0</v>
      </c>
      <c r="L2" s="29" t="s">
        <v>34</v>
      </c>
      <c r="M2" s="29" t="s">
        <v>35</v>
      </c>
    </row>
    <row r="3" s="2" customFormat="1" ht="15" spans="1:13">
      <c r="A3" s="30" t="s">
        <v>13</v>
      </c>
      <c r="B3" s="31" t="s">
        <v>47</v>
      </c>
      <c r="C3" s="30" t="s">
        <v>15</v>
      </c>
      <c r="D3" s="30" t="s">
        <v>48</v>
      </c>
      <c r="E3" s="30" t="s">
        <v>41</v>
      </c>
      <c r="F3" s="31" t="s">
        <v>42</v>
      </c>
      <c r="G3" s="31" t="s">
        <v>49</v>
      </c>
      <c r="H3" s="30" t="s">
        <v>50</v>
      </c>
      <c r="I3" s="30">
        <v>1</v>
      </c>
      <c r="J3" s="30" t="s">
        <v>21</v>
      </c>
      <c r="K3" s="30">
        <v>0.1</v>
      </c>
      <c r="L3" s="31" t="s">
        <v>51</v>
      </c>
      <c r="M3" s="30" t="s">
        <v>44</v>
      </c>
    </row>
    <row r="4" s="3" customFormat="1" ht="45" customHeight="1" spans="1:13">
      <c r="E4" s="32" t="s">
        <v>52</v>
      </c>
      <c r="F4" s="33" t="s">
        <v>42</v>
      </c>
      <c r="G4" s="33" t="s">
        <v>53</v>
      </c>
      <c r="H4" s="34" t="s">
        <v>54</v>
      </c>
      <c r="I4" s="34">
        <v>1</v>
      </c>
      <c r="J4" s="34" t="s">
        <v>21</v>
      </c>
      <c r="K4" s="34">
        <v>0.1</v>
      </c>
      <c r="L4" s="35" t="s">
        <v>55</v>
      </c>
      <c r="M4" s="34" t="s">
        <v>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D13" sqref="D13"/>
    </sheetView>
  </sheetViews>
  <sheetFormatPr defaultColWidth="9" defaultRowHeight="13.5" outlineLevelRow="4"/>
  <cols>
    <col min="1" max="1" width="11.8916666666667" style="1" customWidth="1"/>
    <col min="2" max="2" width="18.65" style="1" customWidth="1"/>
    <col min="3" max="3" width="19.7833333333333" style="24" customWidth="1"/>
    <col min="4" max="4" width="38.0416666666667" customWidth="1"/>
    <col min="5" max="6" width="5.125" style="1" customWidth="1"/>
    <col min="8" max="8" width="10.275" customWidth="1"/>
    <col min="9" max="9" width="16.375" customWidth="1"/>
  </cols>
  <sheetData>
    <row r="1" ht="44" customHeight="1" spans="1:10">
      <c r="A1" s="5" t="s">
        <v>56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28" customHeight="1" spans="1:10">
      <c r="A2" s="7" t="s">
        <v>3</v>
      </c>
      <c r="B2" s="7" t="s">
        <v>4</v>
      </c>
      <c r="C2" s="7" t="s">
        <v>5</v>
      </c>
      <c r="D2" s="7" t="s">
        <v>6</v>
      </c>
      <c r="E2" s="7" t="s">
        <v>57</v>
      </c>
      <c r="F2" s="7" t="s">
        <v>9</v>
      </c>
      <c r="G2" s="7" t="s">
        <v>12</v>
      </c>
      <c r="H2" s="9" t="s">
        <v>58</v>
      </c>
      <c r="I2" s="9" t="s">
        <v>11</v>
      </c>
      <c r="J2" s="9" t="s">
        <v>59</v>
      </c>
    </row>
    <row r="3" ht="80" customHeight="1" spans="1:10">
      <c r="A3" s="10" t="s">
        <v>16</v>
      </c>
      <c r="B3" s="10" t="s">
        <v>17</v>
      </c>
      <c r="C3" s="25" t="s">
        <v>18</v>
      </c>
      <c r="D3" s="12" t="s">
        <v>19</v>
      </c>
      <c r="E3" s="10">
        <v>1</v>
      </c>
      <c r="F3" s="10" t="s">
        <v>21</v>
      </c>
      <c r="G3" s="12" t="s">
        <v>23</v>
      </c>
      <c r="H3" s="9">
        <f>E3*350</f>
        <v>350</v>
      </c>
      <c r="I3" s="13"/>
      <c r="J3" s="13"/>
    </row>
    <row r="4" ht="30" spans="1:10">
      <c r="A4" s="10" t="s">
        <v>60</v>
      </c>
      <c r="B4" s="10" t="s">
        <v>37</v>
      </c>
      <c r="C4" s="11" t="s">
        <v>38</v>
      </c>
      <c r="D4" s="11" t="s">
        <v>39</v>
      </c>
      <c r="E4" s="10">
        <v>1</v>
      </c>
      <c r="F4" s="10" t="s">
        <v>21</v>
      </c>
      <c r="G4" s="26"/>
      <c r="H4" s="27">
        <v>350</v>
      </c>
      <c r="I4" s="11" t="s">
        <v>34</v>
      </c>
      <c r="J4" s="26"/>
    </row>
    <row r="5" ht="45" spans="1:10">
      <c r="A5" s="10" t="s">
        <v>61</v>
      </c>
      <c r="B5" s="10" t="s">
        <v>25</v>
      </c>
      <c r="C5" s="11" t="s">
        <v>26</v>
      </c>
      <c r="D5" s="11" t="s">
        <v>27</v>
      </c>
      <c r="E5" s="10">
        <v>1</v>
      </c>
      <c r="F5" s="10" t="s">
        <v>21</v>
      </c>
      <c r="G5" s="12" t="s">
        <v>29</v>
      </c>
      <c r="H5" s="9">
        <v>350</v>
      </c>
      <c r="I5" s="11" t="s">
        <v>28</v>
      </c>
      <c r="J5" s="13"/>
    </row>
  </sheetData>
  <mergeCells count="1">
    <mergeCell ref="A1:J1"/>
  </mergeCells>
  <pageMargins left="0.275" right="0.156944444444444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D15" sqref="D15"/>
    </sheetView>
  </sheetViews>
  <sheetFormatPr defaultColWidth="9" defaultRowHeight="13.5" outlineLevelRow="4"/>
  <cols>
    <col min="1" max="1" width="5.69166666666667" style="1" customWidth="1"/>
    <col min="2" max="2" width="17.975" style="1" customWidth="1"/>
    <col min="3" max="3" width="16" style="4" customWidth="1"/>
    <col min="4" max="4" width="46.0333333333333" style="4" customWidth="1"/>
    <col min="5" max="6" width="5.125" style="1" customWidth="1"/>
    <col min="7" max="7" width="14.25" style="4" customWidth="1"/>
    <col min="8" max="8" width="11.25" customWidth="1"/>
    <col min="10" max="10" width="16.75" customWidth="1"/>
  </cols>
  <sheetData>
    <row r="1" ht="36" customHeight="1" spans="1:11">
      <c r="A1" s="5" t="s">
        <v>62</v>
      </c>
      <c r="B1" s="5"/>
      <c r="C1" s="5"/>
      <c r="D1" s="6"/>
      <c r="E1" s="5"/>
      <c r="F1" s="5"/>
      <c r="G1" s="5"/>
      <c r="H1" s="5"/>
      <c r="I1" s="5"/>
      <c r="J1" s="5"/>
      <c r="K1" s="5"/>
    </row>
    <row r="2" s="1" customFormat="1" ht="24" customHeight="1" spans="1:11">
      <c r="A2" s="7" t="s">
        <v>3</v>
      </c>
      <c r="B2" s="7" t="s">
        <v>4</v>
      </c>
      <c r="C2" s="7" t="s">
        <v>5</v>
      </c>
      <c r="D2" s="8" t="s">
        <v>6</v>
      </c>
      <c r="E2" s="7" t="s">
        <v>57</v>
      </c>
      <c r="F2" s="7" t="s">
        <v>9</v>
      </c>
      <c r="G2" s="8" t="s">
        <v>11</v>
      </c>
      <c r="H2" s="7" t="s">
        <v>12</v>
      </c>
      <c r="I2" s="9" t="s">
        <v>58</v>
      </c>
      <c r="J2" s="9" t="s">
        <v>11</v>
      </c>
      <c r="K2" s="9" t="s">
        <v>59</v>
      </c>
    </row>
    <row r="3" ht="63" customHeight="1" spans="1:11">
      <c r="A3" s="10">
        <v>2</v>
      </c>
      <c r="B3" s="10" t="s">
        <v>31</v>
      </c>
      <c r="C3" s="11" t="s">
        <v>32</v>
      </c>
      <c r="D3" s="11" t="s">
        <v>33</v>
      </c>
      <c r="E3" s="10">
        <v>1</v>
      </c>
      <c r="F3" s="10" t="s">
        <v>21</v>
      </c>
      <c r="G3" s="11" t="s">
        <v>34</v>
      </c>
      <c r="H3" s="12" t="s">
        <v>35</v>
      </c>
      <c r="I3" s="9">
        <f>E3*350</f>
        <v>350</v>
      </c>
      <c r="J3" s="13"/>
      <c r="K3" s="13"/>
    </row>
    <row r="4" s="2" customFormat="1" ht="63" customHeight="1" spans="1:11">
      <c r="A4" s="10">
        <v>4</v>
      </c>
      <c r="B4" s="14" t="s">
        <v>41</v>
      </c>
      <c r="C4" s="15" t="s">
        <v>42</v>
      </c>
      <c r="D4" s="15" t="s">
        <v>49</v>
      </c>
      <c r="E4" s="14">
        <v>1</v>
      </c>
      <c r="F4" s="14" t="s">
        <v>21</v>
      </c>
      <c r="G4" s="15" t="s">
        <v>51</v>
      </c>
      <c r="H4" s="16" t="s">
        <v>44</v>
      </c>
      <c r="I4" s="9">
        <f>E4*350</f>
        <v>350</v>
      </c>
      <c r="J4" s="17"/>
      <c r="K4" s="17"/>
    </row>
    <row r="5" s="3" customFormat="1" ht="63" customHeight="1" spans="1:11">
      <c r="A5" s="10">
        <v>5</v>
      </c>
      <c r="B5" s="18" t="s">
        <v>52</v>
      </c>
      <c r="C5" s="19" t="s">
        <v>42</v>
      </c>
      <c r="D5" s="19" t="s">
        <v>63</v>
      </c>
      <c r="E5" s="20">
        <v>1</v>
      </c>
      <c r="F5" s="20" t="s">
        <v>21</v>
      </c>
      <c r="G5" s="21" t="s">
        <v>55</v>
      </c>
      <c r="H5" s="22" t="s">
        <v>44</v>
      </c>
      <c r="I5" s="9">
        <f>E5*350</f>
        <v>350</v>
      </c>
      <c r="J5" s="23"/>
      <c r="K5" s="23"/>
    </row>
  </sheetData>
  <mergeCells count="1">
    <mergeCell ref="A1:K1"/>
  </mergeCells>
  <pageMargins left="0.156944444444444" right="0.118055555555556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BOM明细</vt:lpstr>
      <vt:lpstr>SMT</vt:lpstr>
      <vt:lpstr>DIP</vt:lpstr>
      <vt:lpstr>SMT备料</vt:lpstr>
      <vt:lpstr>DIP备料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差一点～变帅哥！</cp:lastModifiedBy>
  <dcterms:created xsi:type="dcterms:W3CDTF">2026-05-29T10:29:00Z</dcterms:created>
  <dcterms:modified xsi:type="dcterms:W3CDTF">2026-06-16T08:43:35Z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17A33CE7E1BE41FD92028FD3A137B57A_13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